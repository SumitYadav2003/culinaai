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ces" sheetId="2" state="visible" r:id="rId4"/>
    <sheet name="Shop prices" sheetId="3" state="visible" r:id="rId5"/>
    <sheet name="ONS items used" sheetId="4" state="visible" r:id="rId6"/>
  </sheets>
  <definedNames>
    <definedName function="false" hidden="true" localSheetId="1" name="_xlnm._FilterDatabase" vbProcedure="false">Prices!$A$1:$L$192</definedName>
    <definedName function="false" hidden="true" localSheetId="2" name="_xlnm._FilterDatabase" vbProcedure="false">'Shop prices'!$A$1:$M$358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Price of the pack as shown on the shelf, in pounds, no £ sign.</t>
        </r>
      </text>
    </comment>
    <comment ref="H1" authorId="0">
      <text>
        <r>
          <rPr>
            <sz val="10"/>
            <rFont val="Arial"/>
            <family val="2"/>
          </rPr>
          <t xml:space="preserve">Weight of the whole pack in grams. For liquids, ml counts as g (oils: ml x 0.92). For cans, the full can weight, not drained.</t>
        </r>
      </text>
    </comment>
    <comment ref="I1" authorId="0">
      <text>
        <r>
          <rPr>
            <sz val="10"/>
            <rFont val="Arial"/>
            <family val="2"/>
          </rPr>
          <t xml:space="preserve">Formula: pack price / pack weight x 1000. Don't type here.</t>
        </r>
      </text>
    </comment>
  </commentList>
</comments>
</file>

<file path=xl/sharedStrings.xml><?xml version="1.0" encoding="utf-8"?>
<sst xmlns="http://schemas.openxmlformats.org/spreadsheetml/2006/main" count="5491" uniqueCount="2291">
  <si>
    <t xml:space="preserve">CulinaAI ingredient prices</t>
  </si>
  <si>
    <t xml:space="preserve">What this is</t>
  </si>
  <si>
    <t xml:space="preserve">A price per kg for each of the 190 foods CulinaAI's ingredient names map to. It powers the cheapest version of a dish and the cost per serving. 187 of 190 have a price.</t>
  </si>
  <si>
    <t xml:space="preserve">Where prices come from</t>
  </si>
  <si>
    <t xml:space="preserve">1. ONS (70 foods, status starts with 'ONS'): ONS average prices for August 2026 (tab 'ONS items used'). Open Government Licence v3.0. 'Stand-in' = ONS has no exact item, so the nearest is used; the note says which.</t>
  </si>
  <si>
    <t xml:space="preserve">2. Shop average (116 foods, 2 of them a stand-in that borrows another food's prices; the note says which): the average of Tesco, Sainsbury's and Morrisons shelf prices read on 2 Oct 2026. Own-brand standard range where sold, smallest normal pack, regular price (no Clubcard or Nectar prices). At least 2 shops per food. Every shop price is in the 'Shop prices' tab.</t>
  </si>
  <si>
    <t xml:space="preserve">These three shops hold about half the GB grocery market (51.6%, Kantar, 12 weeks to July 2026). Asda and Aldi block automated reading of their sites and Lidl shows few prices online, so they are not included.</t>
  </si>
  <si>
    <t xml:space="preserve">3. Tinned foods (beans, chickpeas, tuna, sweetcorn, sardines) are priced per kg of DRAINED weight, because the nutrition data is for the drained food.</t>
  </si>
  <si>
    <t xml:space="preserve">4. Loose items sold 'each' (peppers, cabbage, avocado...) use the USDA FoodData Central weight of one item. For mango, avocado and orange that is the weight of the flesh, so the price is per kg of flesh. Eggs: 12 x 58 g, the middle of the UK medium egg band.</t>
  </si>
  <si>
    <t xml:space="preserve">Known differences</t>
  </si>
  <si>
    <t xml:space="preserve">ONS averages include branded products and convenience stores. For the ten foods sold 'each' that both cover, ONS was 4% to 46% higher than the three shops, and 137% higher for peppers (ONS £1.66 vs 70p each). See docs/evaluation/ons_vs_shop_each_items.csv.</t>
  </si>
  <si>
    <t xml:space="preserve">Shelf prices change weekly. Show costs as estimates, e.g. 'Estimated cost, from ONS average prices (August 2026) and Tesco, Sainsbury's and Morrisons prices (October 2026). Prices vary by shop and over time.'</t>
  </si>
  <si>
    <t xml:space="preserve">Still blank (red)</t>
  </si>
  <si>
    <t xml:space="preserve">Beetroot, butternut squash and garlic: see each row's note. Fill the yellow cells if you find a price.</t>
  </si>
  <si>
    <t xml:space="preserve">Checking a row</t>
  </si>
  <si>
    <t xml:space="preserve">Filter the 'Shop prices' tab by food code. Notes marked DOUBTFUL explain a judgement call.</t>
  </si>
  <si>
    <t xml:space="preserve">Progress</t>
  </si>
  <si>
    <t xml:space="preserve">Foods in the sheet</t>
  </si>
  <si>
    <t xml:space="preserve">With a price per kg</t>
  </si>
  <si>
    <t xml:space="preserve">Shop averages</t>
  </si>
  <si>
    <t xml:space="preserve">From ONS</t>
  </si>
  <si>
    <t xml:space="preserve">Still blank</t>
  </si>
  <si>
    <t xml:space="preserve">Food code</t>
  </si>
  <si>
    <t xml:space="preserve">CoFID food</t>
  </si>
  <si>
    <t xml:space="preserve">Recipe names</t>
  </si>
  <si>
    <t xml:space="preserve">Status</t>
  </si>
  <si>
    <t xml:space="preserve">Price source</t>
  </si>
  <si>
    <t xml:space="preserve">Product / ONS item</t>
  </si>
  <si>
    <t xml:space="preserve">Pack price (£)</t>
  </si>
  <si>
    <t xml:space="preserve">Pack weight (g)</t>
  </si>
  <si>
    <t xml:space="preserve">Price per kg (£)</t>
  </si>
  <si>
    <t xml:space="preserve">Shop</t>
  </si>
  <si>
    <t xml:space="preserve">Date checked</t>
  </si>
  <si>
    <t xml:space="preserve">Notes</t>
  </si>
  <si>
    <t xml:space="preserve">(example)</t>
  </si>
  <si>
    <t xml:space="preserve">Lentils, red, split, dried, raw</t>
  </si>
  <si>
    <t xml:space="preserve">red lentil; lentil</t>
  </si>
  <si>
    <t xml:space="preserve">Example</t>
  </si>
  <si>
    <t xml:space="preserve">Supermarket shelf price</t>
  </si>
  <si>
    <t xml:space="preserve">Own-brand red split lentils 500 g</t>
  </si>
  <si>
    <t xml:space="preserve">Tesco</t>
  </si>
  <si>
    <t xml:space="preserve">05/10/2026</t>
  </si>
  <si>
    <t xml:space="preserve">Example only, not a real price. Delete or ignore this row.</t>
  </si>
  <si>
    <t xml:space="preserve">11-861</t>
  </si>
  <si>
    <t xml:space="preserve">Rice, white, long grain, raw</t>
  </si>
  <si>
    <t xml:space="preserve">rice; white rice; long grain rice</t>
  </si>
  <si>
    <t xml:space="preserve">Shop average</t>
  </si>
  <si>
    <t xml:space="preserve">Average of 3 supermarkets, 2 Oct 2026</t>
  </si>
  <si>
    <t xml:space="preserve">Own-brand standard range where sold (see 'Shop prices' tab)</t>
  </si>
  <si>
    <t xml:space="preserve">Morrisons, Sainsbury's, Tesco</t>
  </si>
  <si>
    <t xml:space="preserve">02/10/2026</t>
  </si>
  <si>
    <t xml:space="preserve">Range £1.25 to £2.00 per kg</t>
  </si>
  <si>
    <t xml:space="preserve">11-868</t>
  </si>
  <si>
    <t xml:space="preserve">Rice, brown, wholegrain, raw</t>
  </si>
  <si>
    <t xml:space="preserve">brown rice</t>
  </si>
  <si>
    <t xml:space="preserve">Range £1.38 to £1.39 per kg</t>
  </si>
  <si>
    <t xml:space="preserve">11-878</t>
  </si>
  <si>
    <t xml:space="preserve">Rice, white, Italian Arborio risotto, raw</t>
  </si>
  <si>
    <t xml:space="preserve">arborio rice</t>
  </si>
  <si>
    <t xml:space="preserve">Range £3.30 to £6.00 per kg</t>
  </si>
  <si>
    <t xml:space="preserve">11-889</t>
  </si>
  <si>
    <t xml:space="preserve">Flour, wheat, wholemeal</t>
  </si>
  <si>
    <t xml:space="preserve">wholemeal flour</t>
  </si>
  <si>
    <t xml:space="preserve">Range £1.00 to £1.95 per kg</t>
  </si>
  <si>
    <t xml:space="preserve">11-973</t>
  </si>
  <si>
    <t xml:space="preserve">Bread, naan, retail</t>
  </si>
  <si>
    <t xml:space="preserve">naan; naan bread</t>
  </si>
  <si>
    <t xml:space="preserve">Range £2.65 to £5.77 per kg</t>
  </si>
  <si>
    <t xml:space="preserve">11-974</t>
  </si>
  <si>
    <t xml:space="preserve">Bread, pitta, white</t>
  </si>
  <si>
    <t xml:space="preserve">pitta; pitta bread</t>
  </si>
  <si>
    <t xml:space="preserve">Range £1.39 to £1.39 per kg. Weight per item: 6 pittas x 60 g (Tesco product page)</t>
  </si>
  <si>
    <t xml:space="preserve">12-184</t>
  </si>
  <si>
    <t xml:space="preserve">Yogurt, whole milk, plain</t>
  </si>
  <si>
    <t xml:space="preserve">natural yogurt; natural yoghurt; plain yogurt; yogurt; yoghurt</t>
  </si>
  <si>
    <t xml:space="preserve">Range £2.30 to £2.30 per kg</t>
  </si>
  <si>
    <t xml:space="preserve">12-307</t>
  </si>
  <si>
    <t xml:space="preserve">Milk, skimmed, pasteurised, average</t>
  </si>
  <si>
    <t xml:space="preserve">skimmed milk</t>
  </si>
  <si>
    <t xml:space="preserve">ONS stand-in, check</t>
  </si>
  <si>
    <t xml:space="preserve">ONS average price, Aug 2026</t>
  </si>
  <si>
    <t xml:space="preserve">Milk - cow's (semi-skimmed, fresh) (1136 ml)</t>
  </si>
  <si>
    <t xml:space="preserve">ONS has no skimmed milk item. The shop rows are 1-pint packs (£1.50/litre), which cost more per kg than the 2-pint ONS milk items. Tesco and Sainsbury's also sell 2 pints of skimmed for £1.20 (about £1.06/kg), close to the ONS semi-skimmed price used here</t>
  </si>
  <si>
    <t xml:space="preserve">12-334</t>
  </si>
  <si>
    <t xml:space="preserve">Cream, fresh, double, including Jersey cream</t>
  </si>
  <si>
    <t xml:space="preserve">double cream</t>
  </si>
  <si>
    <t xml:space="preserve">Range £7.33 to £8.00 per kg</t>
  </si>
  <si>
    <t xml:space="preserve">12-335</t>
  </si>
  <si>
    <t xml:space="preserve">Creme fraiche, full fat</t>
  </si>
  <si>
    <t xml:space="preserve">creme fraiche</t>
  </si>
  <si>
    <t xml:space="preserve">Range £2.50 to £3.50 per kg</t>
  </si>
  <si>
    <t xml:space="preserve">12-360</t>
  </si>
  <si>
    <t xml:space="preserve">Cheese, Mozzarella, fresh</t>
  </si>
  <si>
    <t xml:space="preserve">mozzarella</t>
  </si>
  <si>
    <t xml:space="preserve">Range £4.40 to £10.40 per kg</t>
  </si>
  <si>
    <t xml:space="preserve">12-379</t>
  </si>
  <si>
    <t xml:space="preserve">Yogurt, low fat, plain</t>
  </si>
  <si>
    <t xml:space="preserve">low fat yogurt</t>
  </si>
  <si>
    <t xml:space="preserve">Range £1.10 to £2.30 per kg</t>
  </si>
  <si>
    <t xml:space="preserve">12-495</t>
  </si>
  <si>
    <t xml:space="preserve">Cheese, Paneer</t>
  </si>
  <si>
    <t xml:space="preserve">paneer</t>
  </si>
  <si>
    <t xml:space="preserve">Average of 2 supermarkets, 2 Oct 2026</t>
  </si>
  <si>
    <t xml:space="preserve">Morrisons, Tesco</t>
  </si>
  <si>
    <t xml:space="preserve">Range £9.00 to £9.00 per kg</t>
  </si>
  <si>
    <t xml:space="preserve">12-524</t>
  </si>
  <si>
    <t xml:space="preserve">Milk, soya, non-dairy alternative to milk, unsweetened, fortified</t>
  </si>
  <si>
    <t xml:space="preserve">soya milk</t>
  </si>
  <si>
    <t xml:space="preserve">Range £1.15 to £1.30 per kg</t>
  </si>
  <si>
    <t xml:space="preserve">12-525</t>
  </si>
  <si>
    <t xml:space="preserve">Cheese, Feta</t>
  </si>
  <si>
    <t xml:space="preserve">feta</t>
  </si>
  <si>
    <t xml:space="preserve">Range £10.75 to £11.75 per kg</t>
  </si>
  <si>
    <t xml:space="preserve">12-545</t>
  </si>
  <si>
    <t xml:space="preserve">Cocoa powder</t>
  </si>
  <si>
    <t xml:space="preserve">cocoa powder</t>
  </si>
  <si>
    <t xml:space="preserve">Range £11.96 to £17.80 per kg</t>
  </si>
  <si>
    <t xml:space="preserve">12-555</t>
  </si>
  <si>
    <t xml:space="preserve">Yogurt, Greek style, plain</t>
  </si>
  <si>
    <t xml:space="preserve">greek yogurt; greek yoghurt</t>
  </si>
  <si>
    <t xml:space="preserve">13-074</t>
  </si>
  <si>
    <t xml:space="preserve">Beans, chick peas, Kabuli, whole, dried, raw</t>
  </si>
  <si>
    <t xml:space="preserve">dried chickpea</t>
  </si>
  <si>
    <t xml:space="preserve">Range £1.93 to £4.60 per kg</t>
  </si>
  <si>
    <t xml:space="preserve">13-089</t>
  </si>
  <si>
    <t xml:space="preserve">Lentils, green and brown, whole, dried, raw</t>
  </si>
  <si>
    <t xml:space="preserve">green lentil; brown lentil</t>
  </si>
  <si>
    <t xml:space="preserve">Range £4.10 to £4.20 per kg</t>
  </si>
  <si>
    <t xml:space="preserve">13-161</t>
  </si>
  <si>
    <t xml:space="preserve">Aubergine, raw</t>
  </si>
  <si>
    <t xml:space="preserve">aubergine; eggplant</t>
  </si>
  <si>
    <t xml:space="preserve">Morrisons, Sainsbury's</t>
  </si>
  <si>
    <t xml:space="preserve">Range £1.73 to £1.73 per kg. Weight per item: USDA FDC 169228, 1 aubergine</t>
  </si>
  <si>
    <t xml:space="preserve">13-164</t>
  </si>
  <si>
    <t xml:space="preserve">Beetroot, raw</t>
  </si>
  <si>
    <t xml:space="preserve">beetroot</t>
  </si>
  <si>
    <t xml:space="preserve">No price yet</t>
  </si>
  <si>
    <t xml:space="preserve">Only Sainsbury's gave a weight for standard beetroot. Morrisons sells bunches with no weight, and Tesco's only beetroot sold by weight is organic, which the rules leave out</t>
  </si>
  <si>
    <t xml:space="preserve">13-190</t>
  </si>
  <si>
    <t xml:space="preserve">Cabbage, red, raw</t>
  </si>
  <si>
    <t xml:space="preserve">red cabbage</t>
  </si>
  <si>
    <t xml:space="preserve">Range £1.06 to £1.06 per kg. Weight per item: USDA FDC 169977, 1 medium red cabbage head</t>
  </si>
  <si>
    <t xml:space="preserve">13-234</t>
  </si>
  <si>
    <t xml:space="preserve">Curly kale, raw</t>
  </si>
  <si>
    <t xml:space="preserve">kale</t>
  </si>
  <si>
    <t xml:space="preserve">Range £4.44 to £4.47 per kg</t>
  </si>
  <si>
    <t xml:space="preserve">13-244</t>
  </si>
  <si>
    <t xml:space="preserve">Garlic, raw</t>
  </si>
  <si>
    <t xml:space="preserve">garlic; garlic clove</t>
  </si>
  <si>
    <t xml:space="preserve">Garlic is sold in bulbs with no weight shown, and USDA has no bulb weight</t>
  </si>
  <si>
    <t xml:space="preserve">13-300</t>
  </si>
  <si>
    <t xml:space="preserve">Okra, raw</t>
  </si>
  <si>
    <t xml:space="preserve">okra</t>
  </si>
  <si>
    <t xml:space="preserve">Range £8.75 to £10.00 per kg</t>
  </si>
  <si>
    <t xml:space="preserve">13-316</t>
  </si>
  <si>
    <t xml:space="preserve">Peppers, capsicum, chilli, green, raw</t>
  </si>
  <si>
    <t xml:space="preserve">chilli; green chilli</t>
  </si>
  <si>
    <t xml:space="preserve">Range £11.54 to £14.40 per kg</t>
  </si>
  <si>
    <t xml:space="preserve">13-317</t>
  </si>
  <si>
    <t xml:space="preserve">Peppers, capsicum, chilli, red, raw</t>
  </si>
  <si>
    <t xml:space="preserve">red chilli</t>
  </si>
  <si>
    <t xml:space="preserve">Range £8.46 to £11.80 per kg</t>
  </si>
  <si>
    <t xml:space="preserve">13-342</t>
  </si>
  <si>
    <t xml:space="preserve">Shallots, raw</t>
  </si>
  <si>
    <t xml:space="preserve">shallot</t>
  </si>
  <si>
    <t xml:space="preserve">Sainsbury's, Tesco</t>
  </si>
  <si>
    <t xml:space="preserve">Range £3.38 to £3.38 per kg</t>
  </si>
  <si>
    <t xml:space="preserve">13-352</t>
  </si>
  <si>
    <t xml:space="preserve">Spring onions, bulbs and tops, raw</t>
  </si>
  <si>
    <t xml:space="preserve">spring onion</t>
  </si>
  <si>
    <t xml:space="preserve">Range £6.50 to £6.90 per kg</t>
  </si>
  <si>
    <t xml:space="preserve">13-355</t>
  </si>
  <si>
    <t xml:space="preserve">Squash, butternut, raw</t>
  </si>
  <si>
    <t xml:space="preserve">butternut squash</t>
  </si>
  <si>
    <t xml:space="preserve">Only Sainsbury's sells it by weight. Tesco and Morrisons sell it 'each' with no weight shown</t>
  </si>
  <si>
    <t xml:space="preserve">13-519</t>
  </si>
  <si>
    <t xml:space="preserve">Tomatoes, cherry, raw</t>
  </si>
  <si>
    <t xml:space="preserve">cherry tomato</t>
  </si>
  <si>
    <t xml:space="preserve">Range £2.70 to £3.33 per kg</t>
  </si>
  <si>
    <t xml:space="preserve">13-521</t>
  </si>
  <si>
    <t xml:space="preserve">Spinach, baby, raw</t>
  </si>
  <si>
    <t xml:space="preserve">baby spinach</t>
  </si>
  <si>
    <t xml:space="preserve">Range £6.25 to £8.33 per kg</t>
  </si>
  <si>
    <t xml:space="preserve">13-531</t>
  </si>
  <si>
    <t xml:space="preserve">Tomato puree</t>
  </si>
  <si>
    <t xml:space="preserve">tomato puree; tomato paste</t>
  </si>
  <si>
    <t xml:space="preserve">Range £2.95 to £5.63 per kg</t>
  </si>
  <si>
    <t xml:space="preserve">13-570</t>
  </si>
  <si>
    <t xml:space="preserve">Tofu, soya bean, steamed</t>
  </si>
  <si>
    <t xml:space="preserve">tofu</t>
  </si>
  <si>
    <t xml:space="preserve">Range £6.67 to £8.75 per kg</t>
  </si>
  <si>
    <t xml:space="preserve">13-572</t>
  </si>
  <si>
    <t xml:space="preserve">Spinach, mature, raw</t>
  </si>
  <si>
    <t xml:space="preserve">spinach</t>
  </si>
  <si>
    <t xml:space="preserve">Range £3.54 to £5.19 per kg</t>
  </si>
  <si>
    <t xml:space="preserve">13-574</t>
  </si>
  <si>
    <t xml:space="preserve">Quorn, pieces, as purchased</t>
  </si>
  <si>
    <t xml:space="preserve">quorn</t>
  </si>
  <si>
    <t xml:space="preserve">Range £9.17 to £9.17 per kg</t>
  </si>
  <si>
    <t xml:space="preserve">13-624</t>
  </si>
  <si>
    <t xml:space="preserve">Leeks, raw</t>
  </si>
  <si>
    <t xml:space="preserve">leek</t>
  </si>
  <si>
    <t xml:space="preserve">Range £2.74 to £2.74 per kg</t>
  </si>
  <si>
    <t xml:space="preserve">13-636</t>
  </si>
  <si>
    <t xml:space="preserve">Celery, raw</t>
  </si>
  <si>
    <t xml:space="preserve">celery</t>
  </si>
  <si>
    <t xml:space="preserve">Range £3.60 to £3.60 per kg</t>
  </si>
  <si>
    <t xml:space="preserve">13-657</t>
  </si>
  <si>
    <t xml:space="preserve">Range £4.20 to £4.20 per kg</t>
  </si>
  <si>
    <t xml:space="preserve">13-804</t>
  </si>
  <si>
    <t xml:space="preserve">Basil, fresh</t>
  </si>
  <si>
    <t xml:space="preserve">basil</t>
  </si>
  <si>
    <t xml:space="preserve">Range £16.67 to £23.33 per kg</t>
  </si>
  <si>
    <t xml:space="preserve">13-829</t>
  </si>
  <si>
    <t xml:space="preserve">Garam masala</t>
  </si>
  <si>
    <t xml:space="preserve">garam masala</t>
  </si>
  <si>
    <t xml:space="preserve">Range £26.32 to £30.26 per kg</t>
  </si>
  <si>
    <t xml:space="preserve">13-830</t>
  </si>
  <si>
    <t xml:space="preserve">Garlic powder</t>
  </si>
  <si>
    <t xml:space="preserve">garlic powder</t>
  </si>
  <si>
    <t xml:space="preserve">Range £12.50 to £22.22 per kg</t>
  </si>
  <si>
    <t xml:space="preserve">13-832</t>
  </si>
  <si>
    <t xml:space="preserve">Ginger, ground</t>
  </si>
  <si>
    <t xml:space="preserve">ground ginger</t>
  </si>
  <si>
    <t xml:space="preserve">Range £26.32 to £34.06 per kg</t>
  </si>
  <si>
    <t xml:space="preserve">13-836</t>
  </si>
  <si>
    <t xml:space="preserve">Mint, fresh</t>
  </si>
  <si>
    <t xml:space="preserve">mint</t>
  </si>
  <si>
    <t xml:space="preserve">Range £16.67 to £20.00 per kg</t>
  </si>
  <si>
    <t xml:space="preserve">13-844</t>
  </si>
  <si>
    <t xml:space="preserve">Parsley, fresh</t>
  </si>
  <si>
    <t xml:space="preserve">parsley</t>
  </si>
  <si>
    <t xml:space="preserve">13-861</t>
  </si>
  <si>
    <t xml:space="preserve">Turmeric, ground</t>
  </si>
  <si>
    <t xml:space="preserve">turmeric</t>
  </si>
  <si>
    <t xml:space="preserve">Range £22.22 to £24.22 per kg</t>
  </si>
  <si>
    <t xml:space="preserve">13-873</t>
  </si>
  <si>
    <t xml:space="preserve">Chilli powder</t>
  </si>
  <si>
    <t xml:space="preserve">chilli powder</t>
  </si>
  <si>
    <t xml:space="preserve">Range £20.00 to £26.14 per kg</t>
  </si>
  <si>
    <t xml:space="preserve">13-874</t>
  </si>
  <si>
    <t xml:space="preserve">Cinnamon, ground</t>
  </si>
  <si>
    <t xml:space="preserve">cinnamon</t>
  </si>
  <si>
    <t xml:space="preserve">Range £27.78 to £34.06 per kg</t>
  </si>
  <si>
    <t xml:space="preserve">13-876</t>
  </si>
  <si>
    <t xml:space="preserve">Curry powder</t>
  </si>
  <si>
    <t xml:space="preserve">curry powder</t>
  </si>
  <si>
    <t xml:space="preserve">Range £15.62 to £16.67 per kg</t>
  </si>
  <si>
    <t xml:space="preserve">13-879</t>
  </si>
  <si>
    <t xml:space="preserve">Paprika</t>
  </si>
  <si>
    <t xml:space="preserve">paprika</t>
  </si>
  <si>
    <t xml:space="preserve">13-880</t>
  </si>
  <si>
    <t xml:space="preserve">Pepper, black</t>
  </si>
  <si>
    <t xml:space="preserve">pepper; black pepper</t>
  </si>
  <si>
    <t xml:space="preserve">Range £32.29 to £48.00 per kg</t>
  </si>
  <si>
    <t xml:space="preserve">13-888</t>
  </si>
  <si>
    <t xml:space="preserve">Coriander leaves, fresh</t>
  </si>
  <si>
    <t xml:space="preserve">coriander; fresh coriander</t>
  </si>
  <si>
    <t xml:space="preserve">13-889</t>
  </si>
  <si>
    <t xml:space="preserve">Cumin seeds</t>
  </si>
  <si>
    <t xml:space="preserve">cumin; ground cumin</t>
  </si>
  <si>
    <t xml:space="preserve">Range £27.03 to £30.26 per kg</t>
  </si>
  <si>
    <t xml:space="preserve">13-890</t>
  </si>
  <si>
    <t xml:space="preserve">Ginger, fresh</t>
  </si>
  <si>
    <t xml:space="preserve">ginger; fresh ginger</t>
  </si>
  <si>
    <t xml:space="preserve">Range £12.40 to £12.50 per kg</t>
  </si>
  <si>
    <t xml:space="preserve">14-277</t>
  </si>
  <si>
    <t xml:space="preserve">Lemon juice, fresh</t>
  </si>
  <si>
    <t xml:space="preserve">lemon; lemon juice</t>
  </si>
  <si>
    <t xml:space="preserve">Range £3.20 to £3.60 per kg</t>
  </si>
  <si>
    <t xml:space="preserve">14-279</t>
  </si>
  <si>
    <t xml:space="preserve">Lime juice, fresh</t>
  </si>
  <si>
    <t xml:space="preserve">lime; lime juice</t>
  </si>
  <si>
    <t xml:space="preserve">Range £4.60 to £5.20 per kg</t>
  </si>
  <si>
    <t xml:space="preserve">14-393</t>
  </si>
  <si>
    <t xml:space="preserve">Raisins, dried</t>
  </si>
  <si>
    <t xml:space="preserve">raisin</t>
  </si>
  <si>
    <t xml:space="preserve">Range £4.60 to £4.60 per kg</t>
  </si>
  <si>
    <t xml:space="preserve">14-394</t>
  </si>
  <si>
    <t xml:space="preserve">Dates, dried, flesh and skin</t>
  </si>
  <si>
    <t xml:space="preserve">date</t>
  </si>
  <si>
    <t xml:space="preserve">Range £9.20 to £9.50 per kg</t>
  </si>
  <si>
    <t xml:space="preserve">14-811</t>
  </si>
  <si>
    <t xml:space="preserve">Cashew nuts, kernel only, plain</t>
  </si>
  <si>
    <t xml:space="preserve">cashew; cashew nut</t>
  </si>
  <si>
    <t xml:space="preserve">Range £11.25 to £13.78 per kg</t>
  </si>
  <si>
    <t xml:space="preserve">14-843</t>
  </si>
  <si>
    <t xml:space="preserve">Quinoa, raw</t>
  </si>
  <si>
    <t xml:space="preserve">quinoa</t>
  </si>
  <si>
    <t xml:space="preserve">Range £10.33 to £10.33 per kg</t>
  </si>
  <si>
    <t xml:space="preserve">14-844</t>
  </si>
  <si>
    <t xml:space="preserve">Sesame seeds</t>
  </si>
  <si>
    <t xml:space="preserve">sesame seed</t>
  </si>
  <si>
    <t xml:space="preserve">Range £12.00 to £23.00 per kg</t>
  </si>
  <si>
    <t xml:space="preserve">14-870</t>
  </si>
  <si>
    <t xml:space="preserve">Almonds, flaked and ground</t>
  </si>
  <si>
    <t xml:space="preserve">ground almond</t>
  </si>
  <si>
    <t xml:space="preserve">Range £17.00 to £17.00 per kg</t>
  </si>
  <si>
    <t xml:space="preserve">14-873</t>
  </si>
  <si>
    <t xml:space="preserve">Coconut, desiccated</t>
  </si>
  <si>
    <t xml:space="preserve">desiccated coconut</t>
  </si>
  <si>
    <t xml:space="preserve">Range £10.50 to £10.80 per kg</t>
  </si>
  <si>
    <t xml:space="preserve">14-877</t>
  </si>
  <si>
    <t xml:space="preserve">Peanuts, kernel only, plain, unsalted</t>
  </si>
  <si>
    <t xml:space="preserve">peanut</t>
  </si>
  <si>
    <t xml:space="preserve">Range £5.00 to £11.50 per kg</t>
  </si>
  <si>
    <t xml:space="preserve">14-879</t>
  </si>
  <si>
    <t xml:space="preserve">Walnuts, kernel only</t>
  </si>
  <si>
    <t xml:space="preserve">walnut</t>
  </si>
  <si>
    <t xml:space="preserve">Range £11.25 to £19.00 per kg</t>
  </si>
  <si>
    <t xml:space="preserve">14-889</t>
  </si>
  <si>
    <t xml:space="preserve">Coconut milk, retail</t>
  </si>
  <si>
    <t xml:space="preserve">coconut milk</t>
  </si>
  <si>
    <t xml:space="preserve">Range £1.88 to £2.50 per kg</t>
  </si>
  <si>
    <t xml:space="preserve">14-896</t>
  </si>
  <si>
    <t xml:space="preserve">Almonds, whole kernels</t>
  </si>
  <si>
    <t xml:space="preserve">almond</t>
  </si>
  <si>
    <t xml:space="preserve">Range £11.25 to £13.75 per kg</t>
  </si>
  <si>
    <t xml:space="preserve">16-393</t>
  </si>
  <si>
    <t xml:space="preserve">Mackerel, flesh only, raw</t>
  </si>
  <si>
    <t xml:space="preserve">mackerel</t>
  </si>
  <si>
    <t xml:space="preserve">Range £21.94 to £24.69 per kg</t>
  </si>
  <si>
    <t xml:space="preserve">16-401</t>
  </si>
  <si>
    <t xml:space="preserve">Sardines, flesh only, raw</t>
  </si>
  <si>
    <t xml:space="preserve">sardine</t>
  </si>
  <si>
    <t xml:space="preserve">Range £5.50 to £9.79 per kg</t>
  </si>
  <si>
    <t xml:space="preserve">16-424</t>
  </si>
  <si>
    <t xml:space="preserve">Sardines, canned in brine, drained</t>
  </si>
  <si>
    <t xml:space="preserve">canned sardine</t>
  </si>
  <si>
    <t xml:space="preserve">Range £6.67 to £10.00 per kg</t>
  </si>
  <si>
    <t xml:space="preserve">17-031</t>
  </si>
  <si>
    <t xml:space="preserve">Oil, coconut</t>
  </si>
  <si>
    <t xml:space="preserve">coconut oil</t>
  </si>
  <si>
    <t xml:space="preserve">Range £7.61 to £15.53 per kg</t>
  </si>
  <si>
    <t xml:space="preserve">17-043</t>
  </si>
  <si>
    <t xml:space="preserve">Oil, sesame</t>
  </si>
  <si>
    <t xml:space="preserve">sesame oil</t>
  </si>
  <si>
    <t xml:space="preserve">Range £11.52 to £11.96 per kg</t>
  </si>
  <si>
    <t xml:space="preserve">17-045</t>
  </si>
  <si>
    <t xml:space="preserve">Oil, sunflower</t>
  </si>
  <si>
    <t xml:space="preserve">sunflower oil</t>
  </si>
  <si>
    <t xml:space="preserve">Range £1.58 to £1.58 per kg</t>
  </si>
  <si>
    <t xml:space="preserve">17-060</t>
  </si>
  <si>
    <t xml:space="preserve">Sugar, brown</t>
  </si>
  <si>
    <t xml:space="preserve">brown sugar</t>
  </si>
  <si>
    <t xml:space="preserve">Range £4.00 to £4.30 per kg</t>
  </si>
  <si>
    <t xml:space="preserve">17-065</t>
  </si>
  <si>
    <t xml:space="preserve">Syrup, golden</t>
  </si>
  <si>
    <t xml:space="preserve">golden syrup</t>
  </si>
  <si>
    <t xml:space="preserve">Range £2.47 to £2.73 per kg</t>
  </si>
  <si>
    <t xml:space="preserve">17-339</t>
  </si>
  <si>
    <t xml:space="preserve">Vinegar</t>
  </si>
  <si>
    <t xml:space="preserve">vinegar</t>
  </si>
  <si>
    <t xml:space="preserve">Range £0.62 to £0.79 per kg</t>
  </si>
  <si>
    <t xml:space="preserve">17-355</t>
  </si>
  <si>
    <t xml:space="preserve">Baking powder</t>
  </si>
  <si>
    <t xml:space="preserve">baking powder</t>
  </si>
  <si>
    <t xml:space="preserve">Range £4.06 to £5.75 per kg</t>
  </si>
  <si>
    <t xml:space="preserve">17-364</t>
  </si>
  <si>
    <t xml:space="preserve">Mustard, smooth</t>
  </si>
  <si>
    <t xml:space="preserve">mustard; dijon mustard</t>
  </si>
  <si>
    <t xml:space="preserve">Range £2.43 to £2.43 per kg</t>
  </si>
  <si>
    <t xml:space="preserve">17-365</t>
  </si>
  <si>
    <t xml:space="preserve">Mustard, wholegrain</t>
  </si>
  <si>
    <t xml:space="preserve">wholegrain mustard</t>
  </si>
  <si>
    <t xml:space="preserve">Range £2.44 to £2.51 per kg</t>
  </si>
  <si>
    <t xml:space="preserve">17-367</t>
  </si>
  <si>
    <t xml:space="preserve">Salt</t>
  </si>
  <si>
    <t xml:space="preserve">salt</t>
  </si>
  <si>
    <t xml:space="preserve">Range £0.87 to £1.27 per kg</t>
  </si>
  <si>
    <t xml:space="preserve">17-379</t>
  </si>
  <si>
    <t xml:space="preserve">Yeast, dried</t>
  </si>
  <si>
    <t xml:space="preserve">yeast</t>
  </si>
  <si>
    <t xml:space="preserve">Range £27.68 to £28.57 per kg</t>
  </si>
  <si>
    <t xml:space="preserve">17-515</t>
  </si>
  <si>
    <t xml:space="preserve">Stock cubes, beef</t>
  </si>
  <si>
    <t xml:space="preserve">beef stock cube</t>
  </si>
  <si>
    <t xml:space="preserve">Range £10.00 to £11.00 per kg</t>
  </si>
  <si>
    <t xml:space="preserve">17-622</t>
  </si>
  <si>
    <t xml:space="preserve">Pesto, green</t>
  </si>
  <si>
    <t xml:space="preserve">pesto</t>
  </si>
  <si>
    <t xml:space="preserve">Range £4.68 to £4.68 per kg</t>
  </si>
  <si>
    <t xml:space="preserve">17-640</t>
  </si>
  <si>
    <t xml:space="preserve">Ghee, butter</t>
  </si>
  <si>
    <t xml:space="preserve">ghee</t>
  </si>
  <si>
    <t xml:space="preserve">Range £15.00 to £15.00 per kg</t>
  </si>
  <si>
    <t xml:space="preserve">17-686</t>
  </si>
  <si>
    <t xml:space="preserve">Oil, vegetable, average</t>
  </si>
  <si>
    <t xml:space="preserve">oil; vegetable oil</t>
  </si>
  <si>
    <t xml:space="preserve">17-720</t>
  </si>
  <si>
    <t xml:space="preserve">Curry paste</t>
  </si>
  <si>
    <t xml:space="preserve">curry paste</t>
  </si>
  <si>
    <t xml:space="preserve">Range £10.75 to £12.50 per kg</t>
  </si>
  <si>
    <t xml:space="preserve">17-721</t>
  </si>
  <si>
    <t xml:space="preserve">Soy sauce, light and dark varieties</t>
  </si>
  <si>
    <t xml:space="preserve">soy sauce</t>
  </si>
  <si>
    <t xml:space="preserve">Range £3.67 to £6.00 per kg</t>
  </si>
  <si>
    <t xml:space="preserve">17-723</t>
  </si>
  <si>
    <t xml:space="preserve">Worcestershire sauce</t>
  </si>
  <si>
    <t xml:space="preserve">worcestershire sauce</t>
  </si>
  <si>
    <t xml:space="preserve">Range £8.67 to £8.67 per kg</t>
  </si>
  <si>
    <t xml:space="preserve">17-724</t>
  </si>
  <si>
    <t xml:space="preserve">Gravy instant granules</t>
  </si>
  <si>
    <t xml:space="preserve">gravy granule</t>
  </si>
  <si>
    <t xml:space="preserve">Range £3.30 to £3.82 per kg</t>
  </si>
  <si>
    <t xml:space="preserve">17-726</t>
  </si>
  <si>
    <t xml:space="preserve">Stock cubes, chicken</t>
  </si>
  <si>
    <t xml:space="preserve">chicken stock cube</t>
  </si>
  <si>
    <t xml:space="preserve">17-727</t>
  </si>
  <si>
    <t xml:space="preserve">Stock cubes, vegetable</t>
  </si>
  <si>
    <t xml:space="preserve">stock cube; vegetable stock cube</t>
  </si>
  <si>
    <t xml:space="preserve">17-774</t>
  </si>
  <si>
    <t xml:space="preserve">Stock cubes, chicken, made up with water</t>
  </si>
  <si>
    <t xml:space="preserve">stock; chicken stock</t>
  </si>
  <si>
    <t xml:space="preserve">Worked out from chicken stock cubes</t>
  </si>
  <si>
    <t xml:space="preserve">One 10 g cube + 450 ml water = 460 g of stock (Tesco pack instructions)</t>
  </si>
  <si>
    <t xml:space="preserve">Tesco, Sainsbury's, Morrisons</t>
  </si>
  <si>
    <t xml:space="preserve">Average cube price £0.100, £0.110, £0.108</t>
  </si>
  <si>
    <t xml:space="preserve">18-289</t>
  </si>
  <si>
    <t xml:space="preserve">Chicken, dark meat, raw</t>
  </si>
  <si>
    <t xml:space="preserve">chicken thigh; chicken drumstick</t>
  </si>
  <si>
    <t xml:space="preserve">Range £9.58 to £9.58 per kg</t>
  </si>
  <si>
    <t xml:space="preserve">18-293</t>
  </si>
  <si>
    <t xml:space="preserve">Chicken, leg quarter, raw, meat and skin</t>
  </si>
  <si>
    <t xml:space="preserve">chicken leg</t>
  </si>
  <si>
    <t xml:space="preserve">Range £2.25 to £2.70 per kg</t>
  </si>
  <si>
    <t xml:space="preserve">18-349</t>
  </si>
  <si>
    <t xml:space="preserve">Turkey, light meat, raw</t>
  </si>
  <si>
    <t xml:space="preserve">turkey breast</t>
  </si>
  <si>
    <t xml:space="preserve">Range £12.50 to £15.00 per kg</t>
  </si>
  <si>
    <t xml:space="preserve">18-350</t>
  </si>
  <si>
    <t xml:space="preserve">Turkey, meat, average, raw</t>
  </si>
  <si>
    <t xml:space="preserve">turkey mince</t>
  </si>
  <si>
    <t xml:space="preserve">Range £9.00 to £9.90 per kg</t>
  </si>
  <si>
    <t xml:space="preserve">18-481</t>
  </si>
  <si>
    <t xml:space="preserve">Lamb, mince, raw</t>
  </si>
  <si>
    <t xml:space="preserve">lamb mince</t>
  </si>
  <si>
    <t xml:space="preserve">Range £13.00 to £17.00 per kg</t>
  </si>
  <si>
    <t xml:space="preserve">18-606</t>
  </si>
  <si>
    <t xml:space="preserve">Pork, mince, raw</t>
  </si>
  <si>
    <t xml:space="preserve">pork mince</t>
  </si>
  <si>
    <t xml:space="preserve">Range £4.80 to £5.00 per kg</t>
  </si>
  <si>
    <t xml:space="preserve">USDA-169661</t>
  </si>
  <si>
    <t xml:space="preserve">Maple syrup</t>
  </si>
  <si>
    <t xml:space="preserve">maple syrup</t>
  </si>
  <si>
    <t xml:space="preserve">Range £16.00 to £24.80 per kg</t>
  </si>
  <si>
    <t xml:space="preserve">USDA-169698</t>
  </si>
  <si>
    <t xml:space="preserve">Cornflour (cornstarch)</t>
  </si>
  <si>
    <t xml:space="preserve">cornflour; cornstarch</t>
  </si>
  <si>
    <t xml:space="preserve">Range £5.00 to £5.30 per kg</t>
  </si>
  <si>
    <t xml:space="preserve">USDA-170554</t>
  </si>
  <si>
    <t xml:space="preserve">Chia seeds, dried</t>
  </si>
  <si>
    <t xml:space="preserve">chia seed</t>
  </si>
  <si>
    <t xml:space="preserve">Range £11.33 to £12.00 per kg</t>
  </si>
  <si>
    <t xml:space="preserve">USDA-174928</t>
  </si>
  <si>
    <t xml:space="preserve">Breadcrumbs, dry, plain</t>
  </si>
  <si>
    <t xml:space="preserve">breadcrumb</t>
  </si>
  <si>
    <t xml:space="preserve">Range £6.80 to £7.14 per kg</t>
  </si>
  <si>
    <t xml:space="preserve">12-937</t>
  </si>
  <si>
    <t xml:space="preserve">Eggs, chicken, whole, raw</t>
  </si>
  <si>
    <t xml:space="preserve">egg</t>
  </si>
  <si>
    <t xml:space="preserve">ONS + egg weight</t>
  </si>
  <si>
    <t xml:space="preserve">Eggs - free-range (12 pack)</t>
  </si>
  <si>
    <t xml:space="preserve">12 eggs x 58 g, the middle of the UK medium egg band (53 g to under 63 g), retained Regulation (EC) 589/2008 Art. 4</t>
  </si>
  <si>
    <t xml:space="preserve">13-318</t>
  </si>
  <si>
    <t xml:space="preserve">Peppers, capsicum, green, raw</t>
  </si>
  <si>
    <t xml:space="preserve">green pepper</t>
  </si>
  <si>
    <t xml:space="preserve">Range £5.88 to £5.88 per kg. Weight per item: USDA FDC 170427, 1 medium green pepper. Replaces the ONS 'each' price, which ran higher than the three shops</t>
  </si>
  <si>
    <t xml:space="preserve">13-512</t>
  </si>
  <si>
    <t xml:space="preserve">Cauliflower, raw</t>
  </si>
  <si>
    <t xml:space="preserve">cauliflower</t>
  </si>
  <si>
    <t xml:space="preserve">Range £2.01 to £2.02 per kg. Weight per item: USDA FDC 169986, 1 medium head. Replaces the ONS 'each' price, which ran higher than the three shops</t>
  </si>
  <si>
    <t xml:space="preserve">13-520</t>
  </si>
  <si>
    <t xml:space="preserve">Lettuce, average, raw</t>
  </si>
  <si>
    <t xml:space="preserve">lettuce</t>
  </si>
  <si>
    <t xml:space="preserve">Range £1.65 to £1.65 per kg. Weight per item: USDA FDC 169248, 1 medium iceberg head. Replaces the ONS 'each' price, which ran higher than the three shops</t>
  </si>
  <si>
    <t xml:space="preserve">13-523</t>
  </si>
  <si>
    <t xml:space="preserve">Cucumber, raw, flesh and skin</t>
  </si>
  <si>
    <t xml:space="preserve">cucumber</t>
  </si>
  <si>
    <t xml:space="preserve">Range £3.29 to £3.29 per kg. Weight per item: USDA FDC 168409, 1 cucumber. Replaces the ONS 'each' price, which ran higher than the three shops</t>
  </si>
  <si>
    <t xml:space="preserve">13-524</t>
  </si>
  <si>
    <t xml:space="preserve">Pepper, capsicum, red, raw</t>
  </si>
  <si>
    <t xml:space="preserve">red pepper; bell pepper</t>
  </si>
  <si>
    <t xml:space="preserve">Range £5.88 to £5.88 per kg. Weight per item: USDA FDC 170108, 1 medium red pepper. Replaces the ONS 'each' price, which ran higher than the three shops</t>
  </si>
  <si>
    <t xml:space="preserve">13-526</t>
  </si>
  <si>
    <t xml:space="preserve">Pepper, capsicum, yellow, raw</t>
  </si>
  <si>
    <t xml:space="preserve">yellow pepper</t>
  </si>
  <si>
    <t xml:space="preserve">Range £5.88 to £5.88 per kg. Weight per item: USDA FDC 170108, 1 medium red pepper (USDA lists no medium yellow pepper). Replaces the ONS 'each' price, which ran higher than the three shops</t>
  </si>
  <si>
    <t xml:space="preserve">13-582</t>
  </si>
  <si>
    <t xml:space="preserve">Cabbage, average, raw</t>
  </si>
  <si>
    <t xml:space="preserve">cabbage</t>
  </si>
  <si>
    <t xml:space="preserve">Range £0.98 to £0.98 per kg. Weight per item: USDA FDC 169975, 1 medium head. Replaces the ONS 'each' price, which ran higher than the three shops</t>
  </si>
  <si>
    <t xml:space="preserve">14-327</t>
  </si>
  <si>
    <t xml:space="preserve">Oranges, flesh only</t>
  </si>
  <si>
    <t xml:space="preserve">orange</t>
  </si>
  <si>
    <t xml:space="preserve">Range £2.67 to £2.67 per kg. Weight per item: USDA FDC 169097, 1 orange. Replaces the ONS 'each' price, which ran higher than the three shops</t>
  </si>
  <si>
    <t xml:space="preserve">14-378</t>
  </si>
  <si>
    <t xml:space="preserve">Mangoes, ripe, flesh only, raw</t>
  </si>
  <si>
    <t xml:space="preserve">mango</t>
  </si>
  <si>
    <t xml:space="preserve">Range £2.80 to £2.80 per kg. Weight per item: USDA FDC 169910, 1 mango without peel and stone. Replaces the ONS 'each' price, which ran higher than the three shops</t>
  </si>
  <si>
    <t xml:space="preserve">14-386</t>
  </si>
  <si>
    <t xml:space="preserve">Avocado, Hass, flesh only</t>
  </si>
  <si>
    <t xml:space="preserve">avocado</t>
  </si>
  <si>
    <t xml:space="preserve">Range £5.07 to £8.09 per kg. Weight per item: USDA FDC 171706, 1 avocado without skin and stone. Replaces the ONS 'each' price, which ran higher than the three shops</t>
  </si>
  <si>
    <t xml:space="preserve">11-718</t>
  </si>
  <si>
    <t xml:space="preserve">Pasta, wholewheat, spaghetti, dried, raw</t>
  </si>
  <si>
    <t xml:space="preserve">wholewheat pasta</t>
  </si>
  <si>
    <t xml:space="preserve">Pasta - dry (500 g)</t>
  </si>
  <si>
    <t xml:space="preserve">ONS has one dry pasta item; wholewheat is often a little dearer</t>
  </si>
  <si>
    <t xml:space="preserve">11-719</t>
  </si>
  <si>
    <t xml:space="preserve">Noodles, egg, dried, raw</t>
  </si>
  <si>
    <t xml:space="preserve">egg noodle; noodle</t>
  </si>
  <si>
    <t xml:space="preserve">Noodles - Asian-style (300 g)</t>
  </si>
  <si>
    <t xml:space="preserve">ONS item covers egg and other Asian-style noodles</t>
  </si>
  <si>
    <t xml:space="preserve">11-886</t>
  </si>
  <si>
    <t xml:space="preserve">Flour, wheat, white, plain, soft</t>
  </si>
  <si>
    <t xml:space="preserve">flour; plain flour</t>
  </si>
  <si>
    <t xml:space="preserve">Flour - self-raising (1500 g)</t>
  </si>
  <si>
    <t xml:space="preserve">ONS only has self-raising; plain flour usually costs about the same</t>
  </si>
  <si>
    <t xml:space="preserve">13-622</t>
  </si>
  <si>
    <t xml:space="preserve">Sweetcorn, kernels, raw</t>
  </si>
  <si>
    <t xml:space="preserve">sweetcorn</t>
  </si>
  <si>
    <t xml:space="preserve">Shop stand-in, check</t>
  </si>
  <si>
    <t xml:space="preserve">Range £1.91 to £3.44 per kg. Replaces the ONS price. Uses the prices of 13-529 (tinned sweetcorn, per drained kg): recipes mostly mean tinned sweetcorn</t>
  </si>
  <si>
    <t xml:space="preserve">16-387</t>
  </si>
  <si>
    <t xml:space="preserve">Prawns, king, raw</t>
  </si>
  <si>
    <t xml:space="preserve">prawn; king prawn</t>
  </si>
  <si>
    <t xml:space="preserve">Seafood - frozen prawns and shrimps (1000 g)</t>
  </si>
  <si>
    <t xml:space="preserve">ONS item is frozen prawns; king prawns cost more</t>
  </si>
  <si>
    <t xml:space="preserve">17-491</t>
  </si>
  <si>
    <t xml:space="preserve">Chocolate, plain</t>
  </si>
  <si>
    <t xml:space="preserve">dark chocolate</t>
  </si>
  <si>
    <t xml:space="preserve">Chocolate - plain or flavoured (150 g)</t>
  </si>
  <si>
    <t xml:space="preserve">ONS bar chocolate without filling; dark chocolate is often a little dearer</t>
  </si>
  <si>
    <t xml:space="preserve">18-478</t>
  </si>
  <si>
    <t xml:space="preserve">Lamb, average, raw, lean and fat</t>
  </si>
  <si>
    <t xml:space="preserve">lamb; lamb leg</t>
  </si>
  <si>
    <t xml:space="preserve">Lamb - steaks, chops or fillets (1000 g)</t>
  </si>
  <si>
    <t xml:space="preserve">Lamb leg or diced lamb can differ</t>
  </si>
  <si>
    <t xml:space="preserve">18-488</t>
  </si>
  <si>
    <t xml:space="preserve">Chicken, meat, average, raw</t>
  </si>
  <si>
    <t xml:space="preserve">chicken</t>
  </si>
  <si>
    <t xml:space="preserve">Chicken - fillet or steak (1000 g)</t>
  </si>
  <si>
    <t xml:space="preserve">Plain 'chicken' in a recipe is usually breast</t>
  </si>
  <si>
    <t xml:space="preserve">18-508</t>
  </si>
  <si>
    <t xml:space="preserve">Beef, mince, raw, extra lean</t>
  </si>
  <si>
    <t xml:space="preserve">lean beef mince; extra lean beef mince</t>
  </si>
  <si>
    <t xml:space="preserve">Beef - minced or diced (1000 g)</t>
  </si>
  <si>
    <t xml:space="preserve">Extra lean mince is usually dearer</t>
  </si>
  <si>
    <t xml:space="preserve">USDA-169742</t>
  </si>
  <si>
    <t xml:space="preserve">Rice noodles, dry</t>
  </si>
  <si>
    <t xml:space="preserve">rice noodle</t>
  </si>
  <si>
    <t xml:space="preserve">ONS item covers rice and other Asian-style noodles</t>
  </si>
  <si>
    <t xml:space="preserve">11-716</t>
  </si>
  <si>
    <t xml:space="preserve">Pasta, white, dried, raw</t>
  </si>
  <si>
    <t xml:space="preserve">pasta; spaghetti; penne; fusilli; macaroni</t>
  </si>
  <si>
    <t xml:space="preserve">ONS, same item</t>
  </si>
  <si>
    <t xml:space="preserve">11-788</t>
  </si>
  <si>
    <t xml:space="preserve">Porridge oats, unfortified</t>
  </si>
  <si>
    <t xml:space="preserve">oat; rolled oat; porridge oat</t>
  </si>
  <si>
    <t xml:space="preserve">Oats or porridge (750 g)</t>
  </si>
  <si>
    <t xml:space="preserve">11-857</t>
  </si>
  <si>
    <t xml:space="preserve">Rice, white, basmati, raw</t>
  </si>
  <si>
    <t xml:space="preserve">basmati rice</t>
  </si>
  <si>
    <t xml:space="preserve">Rice - basmati or jasmine (750 g)</t>
  </si>
  <si>
    <t xml:space="preserve">11-888</t>
  </si>
  <si>
    <t xml:space="preserve">Flour, wheat, white, self raising</t>
  </si>
  <si>
    <t xml:space="preserve">self-raising flour; self raising flour</t>
  </si>
  <si>
    <t xml:space="preserve">11-901</t>
  </si>
  <si>
    <t xml:space="preserve">Couscous, plain, raw</t>
  </si>
  <si>
    <t xml:space="preserve">couscous</t>
  </si>
  <si>
    <t xml:space="preserve">Couscous - dry (300 g)</t>
  </si>
  <si>
    <t xml:space="preserve">11-925</t>
  </si>
  <si>
    <t xml:space="preserve">Tortilla, wheat, soft</t>
  </si>
  <si>
    <t xml:space="preserve">tortilla; wrap</t>
  </si>
  <si>
    <t xml:space="preserve">Wraps and tortillas (without filling) (360 g)</t>
  </si>
  <si>
    <t xml:space="preserve">11-980</t>
  </si>
  <si>
    <t xml:space="preserve">Bread, white, sliced</t>
  </si>
  <si>
    <t xml:space="preserve">bread; white bread</t>
  </si>
  <si>
    <t xml:space="preserve">Bread - sliced white (800 g)</t>
  </si>
  <si>
    <t xml:space="preserve">11-981</t>
  </si>
  <si>
    <t xml:space="preserve">Bread, wholemeal, average</t>
  </si>
  <si>
    <t xml:space="preserve">wholemeal bread</t>
  </si>
  <si>
    <t xml:space="preserve">Bread - sliced wholemeal or brown (800 g)</t>
  </si>
  <si>
    <t xml:space="preserve">12-313</t>
  </si>
  <si>
    <t xml:space="preserve">Milk, semi-skimmed, pasteurised, average</t>
  </si>
  <si>
    <t xml:space="preserve">milk; semi-skimmed milk</t>
  </si>
  <si>
    <t xml:space="preserve">ml treated as g</t>
  </si>
  <si>
    <t xml:space="preserve">12-332</t>
  </si>
  <si>
    <t xml:space="preserve">Cream, fresh, single</t>
  </si>
  <si>
    <t xml:space="preserve">cream; single cream</t>
  </si>
  <si>
    <t xml:space="preserve">Cream - pouring and cooking (e.g. single, whipping) (275 ml)</t>
  </si>
  <si>
    <t xml:space="preserve">12-333</t>
  </si>
  <si>
    <t xml:space="preserve">Cream, fresh, whipping</t>
  </si>
  <si>
    <t xml:space="preserve">whipping cream</t>
  </si>
  <si>
    <t xml:space="preserve">12-346</t>
  </si>
  <si>
    <t xml:space="preserve">Cheese, Cheddar, English</t>
  </si>
  <si>
    <t xml:space="preserve">cheese; cheddar; cheddar cheese</t>
  </si>
  <si>
    <t xml:space="preserve">Cheese - Cheddar (1000 g)</t>
  </si>
  <si>
    <t xml:space="preserve">12-526</t>
  </si>
  <si>
    <t xml:space="preserve">Cheese, Parmesan, fresh</t>
  </si>
  <si>
    <t xml:space="preserve">parmesan</t>
  </si>
  <si>
    <t xml:space="preserve">Cheese - parmesan and similar products (1000 g)</t>
  </si>
  <si>
    <t xml:space="preserve">12-551</t>
  </si>
  <si>
    <t xml:space="preserve">Cheese, spreadable, full fat, soft, white</t>
  </si>
  <si>
    <t xml:space="preserve">cream cheese</t>
  </si>
  <si>
    <t xml:space="preserve">Cheese - spreadable (150 g)</t>
  </si>
  <si>
    <t xml:space="preserve">12-596</t>
  </si>
  <si>
    <t xml:space="preserve">Milk, whole, pasteurised, average</t>
  </si>
  <si>
    <t xml:space="preserve">whole milk</t>
  </si>
  <si>
    <t xml:space="preserve">Milk - cow's (whole, fresh) (2272 ml)</t>
  </si>
  <si>
    <t xml:space="preserve">13-463</t>
  </si>
  <si>
    <t xml:space="preserve">Sweet potato, raw, flesh only</t>
  </si>
  <si>
    <t xml:space="preserve">sweet potato</t>
  </si>
  <si>
    <t xml:space="preserve">Potatoes - sweet (1000 g)</t>
  </si>
  <si>
    <t xml:space="preserve">13-489</t>
  </si>
  <si>
    <t xml:space="preserve">Potatoes, old, raw, flesh only</t>
  </si>
  <si>
    <t xml:space="preserve">potato</t>
  </si>
  <si>
    <t xml:space="preserve">Potatoes - white (1000 g)</t>
  </si>
  <si>
    <t xml:space="preserve">13-496</t>
  </si>
  <si>
    <t xml:space="preserve">Carrots, old, raw</t>
  </si>
  <si>
    <t xml:space="preserve">carrot</t>
  </si>
  <si>
    <t xml:space="preserve">Carrots (1000 g)</t>
  </si>
  <si>
    <t xml:space="preserve">13-499</t>
  </si>
  <si>
    <t xml:space="preserve">Onions, raw</t>
  </si>
  <si>
    <t xml:space="preserve">onion; red onion; white onion</t>
  </si>
  <si>
    <t xml:space="preserve">Onions (1000 g)</t>
  </si>
  <si>
    <t xml:space="preserve">13-502</t>
  </si>
  <si>
    <t xml:space="preserve">Broccoli, green, raw</t>
  </si>
  <si>
    <t xml:space="preserve">broccoli</t>
  </si>
  <si>
    <t xml:space="preserve">Broccoli (1000 g)</t>
  </si>
  <si>
    <t xml:space="preserve">13-505</t>
  </si>
  <si>
    <t xml:space="preserve">Mushrooms, white, raw</t>
  </si>
  <si>
    <t xml:space="preserve">mushroom</t>
  </si>
  <si>
    <t xml:space="preserve">Mushrooms (1000 g)</t>
  </si>
  <si>
    <t xml:space="preserve">13-514</t>
  </si>
  <si>
    <t xml:space="preserve">Beans, green, raw</t>
  </si>
  <si>
    <t xml:space="preserve">green bean</t>
  </si>
  <si>
    <t xml:space="preserve">Beans - fresh (excl. soya or edamame) (1000 g)</t>
  </si>
  <si>
    <t xml:space="preserve">13-517</t>
  </si>
  <si>
    <t xml:space="preserve">Tomatoes, standard, raw</t>
  </si>
  <si>
    <t xml:space="preserve">tomato</t>
  </si>
  <si>
    <t xml:space="preserve">Tomatoes (1000 g)</t>
  </si>
  <si>
    <t xml:space="preserve">13-527</t>
  </si>
  <si>
    <t xml:space="preserve">Peas, frozen, raw</t>
  </si>
  <si>
    <t xml:space="preserve">pea; frozen pea</t>
  </si>
  <si>
    <t xml:space="preserve">Peas - frozen (900 g)</t>
  </si>
  <si>
    <t xml:space="preserve">13-529</t>
  </si>
  <si>
    <t xml:space="preserve">Sweetcorn kernels, canned in water, drained</t>
  </si>
  <si>
    <t xml:space="preserve">canned sweetcorn</t>
  </si>
  <si>
    <t xml:space="preserve">Range £1.91 to £3.44 per kg. Replaces the ONS price. Priced per kg of drained weight, as printed on the tin</t>
  </si>
  <si>
    <t xml:space="preserve">13-530</t>
  </si>
  <si>
    <t xml:space="preserve">Tomatoes, canned, whole contents</t>
  </si>
  <si>
    <t xml:space="preserve">canned tomato; tinned tomato; chopped tomato</t>
  </si>
  <si>
    <t xml:space="preserve">Tomatoes - canned or jarred (400 g)</t>
  </si>
  <si>
    <t xml:space="preserve">13-532</t>
  </si>
  <si>
    <t xml:space="preserve">Baked beans, canned in tomato sauce</t>
  </si>
  <si>
    <t xml:space="preserve">baked bean</t>
  </si>
  <si>
    <t xml:space="preserve">Baked beans (425 g)</t>
  </si>
  <si>
    <t xml:space="preserve">13-556</t>
  </si>
  <si>
    <t xml:space="preserve">Houmous</t>
  </si>
  <si>
    <t xml:space="preserve">hummus; houmous</t>
  </si>
  <si>
    <t xml:space="preserve">Houmous (200 g)</t>
  </si>
  <si>
    <t xml:space="preserve">13-618</t>
  </si>
  <si>
    <t xml:space="preserve">Potatoes, new and salad, flesh only, raw</t>
  </si>
  <si>
    <t xml:space="preserve">new potato</t>
  </si>
  <si>
    <t xml:space="preserve">Potatoes - baby, new or salad (1000 g)</t>
  </si>
  <si>
    <t xml:space="preserve">13-627</t>
  </si>
  <si>
    <t xml:space="preserve">Courgette, raw</t>
  </si>
  <si>
    <t xml:space="preserve">courgette; zucchini</t>
  </si>
  <si>
    <t xml:space="preserve">Courgette (1000 g)</t>
  </si>
  <si>
    <t xml:space="preserve">13-660</t>
  </si>
  <si>
    <t xml:space="preserve">Beans, red kidney, canned in water, re-heated, drained</t>
  </si>
  <si>
    <t xml:space="preserve">kidney bean; red kidney bean</t>
  </si>
  <si>
    <t xml:space="preserve">Range £1.54 to £1.63 per kg. Replaces the ONS price. Priced per kg of drained weight, as printed on the tin</t>
  </si>
  <si>
    <t xml:space="preserve">13-670</t>
  </si>
  <si>
    <t xml:space="preserve">Beans, chick peas, canned, re-heated, drained</t>
  </si>
  <si>
    <t xml:space="preserve">chickpea; canned chickpea</t>
  </si>
  <si>
    <t xml:space="preserve">Range £1.54 to £1.71 per kg. Replaces the ONS price. Priced per kg of drained weight, as printed on the tin</t>
  </si>
  <si>
    <t xml:space="preserve">13-878</t>
  </si>
  <si>
    <t xml:space="preserve">Oregano, dried, ground</t>
  </si>
  <si>
    <t xml:space="preserve">oregano</t>
  </si>
  <si>
    <t xml:space="preserve">Herbs - dried (10 g)</t>
  </si>
  <si>
    <t xml:space="preserve">Dried oregano</t>
  </si>
  <si>
    <t xml:space="preserve">13-884</t>
  </si>
  <si>
    <t xml:space="preserve">Mixed herbs, dried</t>
  </si>
  <si>
    <t xml:space="preserve">mixed herb</t>
  </si>
  <si>
    <t xml:space="preserve">14-318</t>
  </si>
  <si>
    <t xml:space="preserve">Bananas, flesh only</t>
  </si>
  <si>
    <t xml:space="preserve">banana</t>
  </si>
  <si>
    <t xml:space="preserve">Bananas (1000 g)</t>
  </si>
  <si>
    <t xml:space="preserve">14-319</t>
  </si>
  <si>
    <t xml:space="preserve">Apples, eating, raw, flesh and skin</t>
  </si>
  <si>
    <t xml:space="preserve">apple</t>
  </si>
  <si>
    <t xml:space="preserve">Apples - not cooking (1000 g)</t>
  </si>
  <si>
    <t xml:space="preserve">14-324</t>
  </si>
  <si>
    <t xml:space="preserve">Strawberries, raw</t>
  </si>
  <si>
    <t xml:space="preserve">strawberry</t>
  </si>
  <si>
    <t xml:space="preserve">Strawberries (1000 g)</t>
  </si>
  <si>
    <t xml:space="preserve">14-325</t>
  </si>
  <si>
    <t xml:space="preserve">Blueberries</t>
  </si>
  <si>
    <t xml:space="preserve">blueberry</t>
  </si>
  <si>
    <t xml:space="preserve">Blueberries (1000 g)</t>
  </si>
  <si>
    <t xml:space="preserve">14-892</t>
  </si>
  <si>
    <t xml:space="preserve">Peanut butter, smooth</t>
  </si>
  <si>
    <t xml:space="preserve">peanut butter</t>
  </si>
  <si>
    <t xml:space="preserve">Peanut butter (300 g)</t>
  </si>
  <si>
    <t xml:space="preserve">16-356</t>
  </si>
  <si>
    <t xml:space="preserve">Salmon, farmed, flesh only, raw</t>
  </si>
  <si>
    <t xml:space="preserve">salmon; salmon fillet</t>
  </si>
  <si>
    <t xml:space="preserve">Fish - fresh salmon (1000 g)</t>
  </si>
  <si>
    <t xml:space="preserve">16-372</t>
  </si>
  <si>
    <t xml:space="preserve">Cod, flesh only, raw</t>
  </si>
  <si>
    <t xml:space="preserve">cod</t>
  </si>
  <si>
    <t xml:space="preserve">Fish - fresh cod (1000 g)</t>
  </si>
  <si>
    <t xml:space="preserve">16-416</t>
  </si>
  <si>
    <t xml:space="preserve">Tuna, canned in brine, drained</t>
  </si>
  <si>
    <t xml:space="preserve">tuna; tuna in brine</t>
  </si>
  <si>
    <t xml:space="preserve">Range £6.37 to £7.84 per kg. Replaces the ONS price. Priced per kg of drained weight, as printed on the tin</t>
  </si>
  <si>
    <t xml:space="preserve">16-417</t>
  </si>
  <si>
    <t xml:space="preserve">Tuna, canned in sunflower oil, drained</t>
  </si>
  <si>
    <t xml:space="preserve">tuna in oil</t>
  </si>
  <si>
    <t xml:space="preserve">17-038</t>
  </si>
  <si>
    <t xml:space="preserve">Oil, olive</t>
  </si>
  <si>
    <t xml:space="preserve">olive oil; extra virgin olive oil</t>
  </si>
  <si>
    <t xml:space="preserve">Oil - olive (750 ml)</t>
  </si>
  <si>
    <t xml:space="preserve">ml converted to g at 0.92 g per ml</t>
  </si>
  <si>
    <t xml:space="preserve">17-041</t>
  </si>
  <si>
    <t xml:space="preserve">Oil, rapeseed</t>
  </si>
  <si>
    <t xml:space="preserve">rapeseed oil</t>
  </si>
  <si>
    <t xml:space="preserve">Range £1.58 to £1.58 per kg. Replaces the ONS price. Uses the prices of 17-686 (own-brand vegetable oil): Tesco's own-brand vegetable oil label reads 'Ingredients: Rapeseed Oil.' No shop had a standard own-brand bottle sold as rapeseed oil; branded 1 L rapeseed oil averaged £3.51/kg (see 'Shop prices' tab)</t>
  </si>
  <si>
    <t xml:space="preserve">17-050</t>
  </si>
  <si>
    <t xml:space="preserve">Honey</t>
  </si>
  <si>
    <t xml:space="preserve">honey</t>
  </si>
  <si>
    <t xml:space="preserve">Honey (400 g)</t>
  </si>
  <si>
    <t xml:space="preserve">17-063</t>
  </si>
  <si>
    <t xml:space="preserve">Sugar, white</t>
  </si>
  <si>
    <t xml:space="preserve">sugar; caster sugar; granulated sugar</t>
  </si>
  <si>
    <t xml:space="preserve">Sugar - white (1000 g)</t>
  </si>
  <si>
    <t xml:space="preserve">17-648</t>
  </si>
  <si>
    <t xml:space="preserve">Chocolate, milk</t>
  </si>
  <si>
    <t xml:space="preserve">milk chocolate</t>
  </si>
  <si>
    <t xml:space="preserve">17-654</t>
  </si>
  <si>
    <t xml:space="preserve">Mayonnaise, standard, retail</t>
  </si>
  <si>
    <t xml:space="preserve">mayonnaise</t>
  </si>
  <si>
    <t xml:space="preserve">Condiments - mayonnaise (500 ml)</t>
  </si>
  <si>
    <t xml:space="preserve">17-661</t>
  </si>
  <si>
    <t xml:space="preserve">Butter, unsalted</t>
  </si>
  <si>
    <t xml:space="preserve">unsalted butter</t>
  </si>
  <si>
    <t xml:space="preserve">Butter - dairy (block or tub) (250 g)</t>
  </si>
  <si>
    <t xml:space="preserve">17-685</t>
  </si>
  <si>
    <t xml:space="preserve">Butter, salted</t>
  </si>
  <si>
    <t xml:space="preserve">butter</t>
  </si>
  <si>
    <t xml:space="preserve">17-709</t>
  </si>
  <si>
    <t xml:space="preserve">Tomato ketchup</t>
  </si>
  <si>
    <t xml:space="preserve">ketchup; tomato ketchup</t>
  </si>
  <si>
    <t xml:space="preserve">Condiments - tomato ketchup (500 g)</t>
  </si>
  <si>
    <t xml:space="preserve">18-007</t>
  </si>
  <si>
    <t xml:space="preserve">Beef, braising steak, raw, lean and fat</t>
  </si>
  <si>
    <t xml:space="preserve">braising steak</t>
  </si>
  <si>
    <t xml:space="preserve">Diced beef</t>
  </si>
  <si>
    <t xml:space="preserve">18-065</t>
  </si>
  <si>
    <t xml:space="preserve">Beef, sirloin steak, raw, lean and fat</t>
  </si>
  <si>
    <t xml:space="preserve">sirloin steak</t>
  </si>
  <si>
    <t xml:space="preserve">Beef - steak or chops (1000 g)</t>
  </si>
  <si>
    <t xml:space="preserve">18-077</t>
  </si>
  <si>
    <t xml:space="preserve">Beef, stewing steak, raw, lean and fat</t>
  </si>
  <si>
    <t xml:space="preserve">stewing beef</t>
  </si>
  <si>
    <t xml:space="preserve">18-290</t>
  </si>
  <si>
    <t xml:space="preserve">Chicken, light meat, raw</t>
  </si>
  <si>
    <t xml:space="preserve">chicken breast</t>
  </si>
  <si>
    <t xml:space="preserve">18-297</t>
  </si>
  <si>
    <t xml:space="preserve">Chicken, whole, raw, meat and skin</t>
  </si>
  <si>
    <t xml:space="preserve">whole chicken</t>
  </si>
  <si>
    <t xml:space="preserve">Chicken - whole (1000 g)</t>
  </si>
  <si>
    <t xml:space="preserve">Price per kg as sold, bones included</t>
  </si>
  <si>
    <t xml:space="preserve">18-469</t>
  </si>
  <si>
    <t xml:space="preserve">Beef, mince, raw</t>
  </si>
  <si>
    <t xml:space="preserve">beef mince</t>
  </si>
  <si>
    <t xml:space="preserve">18-471</t>
  </si>
  <si>
    <t xml:space="preserve">Beef, rump steak, raw, lean and fat</t>
  </si>
  <si>
    <t xml:space="preserve">beef steak; rump steak</t>
  </si>
  <si>
    <t xml:space="preserve">18-536</t>
  </si>
  <si>
    <t xml:space="preserve">Pork, loin chops, raw, lean and fat</t>
  </si>
  <si>
    <t xml:space="preserve">pork chop</t>
  </si>
  <si>
    <t xml:space="preserve">Pork - steak or chops (1000 g)</t>
  </si>
  <si>
    <t xml:space="preserve">19-016</t>
  </si>
  <si>
    <t xml:space="preserve">Bacon rashers, streaky, raw</t>
  </si>
  <si>
    <t xml:space="preserve">streaky bacon</t>
  </si>
  <si>
    <t xml:space="preserve">Pork - bacon (e.g. joint, rasher) (1000 g)</t>
  </si>
  <si>
    <t xml:space="preserve">19-496</t>
  </si>
  <si>
    <t xml:space="preserve">Ham</t>
  </si>
  <si>
    <t xml:space="preserve">ham</t>
  </si>
  <si>
    <t xml:space="preserve">Pork or ham - cooked (e.g. slices, chunks, or pieces) (150 g)</t>
  </si>
  <si>
    <t xml:space="preserve">19-497</t>
  </si>
  <si>
    <t xml:space="preserve">Bacon rashers, back, raw</t>
  </si>
  <si>
    <t xml:space="preserve">bacon</t>
  </si>
  <si>
    <t xml:space="preserve">19-510</t>
  </si>
  <si>
    <t xml:space="preserve">Sausages, pork, raw</t>
  </si>
  <si>
    <t xml:space="preserve">sausage</t>
  </si>
  <si>
    <t xml:space="preserve">Pork sausages (1000 g)</t>
  </si>
  <si>
    <t xml:space="preserve">USDA-173735</t>
  </si>
  <si>
    <t xml:space="preserve">Black beans, cooked, boiled, without salt</t>
  </si>
  <si>
    <t xml:space="preserve">black bean</t>
  </si>
  <si>
    <t xml:space="preserve">Range £1.91 to £1.96 per kg. Replaces the ONS price. Priced per kg of drained weight, as printed on the tin</t>
  </si>
  <si>
    <t xml:space="preserve">USDA-2257046</t>
  </si>
  <si>
    <t xml:space="preserve">Oat drink (oat milk), unsweetened</t>
  </si>
  <si>
    <t xml:space="preserve">oat milk; oat drink</t>
  </si>
  <si>
    <t xml:space="preserve">Milk - oat (1000 ml)</t>
  </si>
  <si>
    <t xml:space="preserve">17-377</t>
  </si>
  <si>
    <t xml:space="preserve">Water, distilled</t>
  </si>
  <si>
    <t xml:space="preserve">water</t>
  </si>
  <si>
    <t xml:space="preserve">Free</t>
  </si>
  <si>
    <t xml:space="preserve">Tap water</t>
  </si>
  <si>
    <t xml:space="preserve">Tap water counts as free</t>
  </si>
  <si>
    <t xml:space="preserve">Product</t>
  </si>
  <si>
    <t xml:space="preserve">Pack size</t>
  </si>
  <si>
    <t xml:space="preserve">Unit price shown</t>
  </si>
  <si>
    <t xml:space="preserve">How per kg was worked out</t>
  </si>
  <si>
    <t xml:space="preserve">Used</t>
  </si>
  <si>
    <t xml:space="preserve">URL</t>
  </si>
  <si>
    <t xml:space="preserve">Checked</t>
  </si>
  <si>
    <t xml:space="preserve">Note</t>
  </si>
  <si>
    <t xml:space="preserve">Morrisons</t>
  </si>
  <si>
    <t xml:space="preserve">Morrisons Easy Cook Long Grain Rice 500g</t>
  </si>
  <si>
    <t xml:space="preserve">500g</t>
  </si>
  <si>
    <t xml:space="preserve">500</t>
  </si>
  <si>
    <t xml:space="preserve">£2.00/kg</t>
  </si>
  <si>
    <t xml:space="preserve">pack price / pack weight</t>
  </si>
  <si>
    <t xml:space="preserve">yes</t>
  </si>
  <si>
    <t xml:space="preserve">https://groceries.morrisons.com/search?q=long%20grain%20rice</t>
  </si>
  <si>
    <t xml:space="preserve">2026-10-02</t>
  </si>
  <si>
    <t xml:space="preserve">Easy cook (parboiled); no plain own-brand long grain seen; 'white rice' search returned 403 twice. 1kg pack is £1.25 (£1.25/kg, Unbeatable Price)</t>
  </si>
  <si>
    <t xml:space="preserve">Sainsbury's</t>
  </si>
  <si>
    <t xml:space="preserve">Sainsbury's Long Grain Rice 1kg</t>
  </si>
  <si>
    <t xml:space="preserve">1kg</t>
  </si>
  <si>
    <t xml:space="preserve">1000</t>
  </si>
  <si>
    <t xml:space="preserve">£1.30/kg</t>
  </si>
  <si>
    <t xml:space="preserve">https://www.sainsburys.co.uk/gol-ui/SearchResults/long%20grain%20rice</t>
  </si>
  <si>
    <t xml:space="preserve">Plain long grain; smallest pack of this line</t>
  </si>
  <si>
    <t xml:space="preserve">Tesco Easy Cook Long Grain Rice 1Kg</t>
  </si>
  <si>
    <t xml:space="preserve">1Kg</t>
  </si>
  <si>
    <t xml:space="preserve">£1.25/kg</t>
  </si>
  <si>
    <t xml:space="preserve">https://www.tesco.com/groceries/en-GB/search?query=long%20grain%20rice</t>
  </si>
  <si>
    <t xml:space="preserve">Easy cook (parboiled); no plain Tesco long grain white rice listed (checked second search). Aldi Price Match badge</t>
  </si>
  <si>
    <t xml:space="preserve">Morrisons Easy Cook Brown Long Grain Rice</t>
  </si>
  <si>
    <t xml:space="preserve">£1.39/kg</t>
  </si>
  <si>
    <t xml:space="preserve">https://groceries.morrisons.com/products/morrisons-easy-cook-brown-long-grain-rice/104552192</t>
  </si>
  <si>
    <t xml:space="preserve">Easy cook; first fetch misread unit as £1.20/kg, re-check shows 'Ordinarily £1.39/kg'</t>
  </si>
  <si>
    <t xml:space="preserve">Sainsbury's Brown Rice 500g</t>
  </si>
  <si>
    <t xml:space="preserve">£1.38/kg</t>
  </si>
  <si>
    <t xml:space="preserve">https://www.sainsburys.co.uk/gol-ui/SearchResults/brown%20rice</t>
  </si>
  <si>
    <t xml:space="preserve">Aldi price match</t>
  </si>
  <si>
    <t xml:space="preserve">Tesco Easy Cook Brown Rice 1Kg</t>
  </si>
  <si>
    <t xml:space="preserve">https://www.tesco.com/groceries/en-GB/search?query=brown%20rice</t>
  </si>
  <si>
    <t xml:space="preserve">Easy cook brown rice; no other Tesco plain brown rice in results (2Kg £2.85 larger)</t>
  </si>
  <si>
    <t xml:space="preserve">Gallo Traditional Risotto 500g</t>
  </si>
  <si>
    <t xml:space="preserve">£6.00/kg</t>
  </si>
  <si>
    <t xml:space="preserve">https://groceries.morrisons.com/search?q=risotto%20rice</t>
  </si>
  <si>
    <t xml:space="preserve">branded; no Morrisons own-brand risotto/arborio rice found; Riso Gallo Easy Cook Risotto Rice 500g £2.65 also listed but is easy-cook not plain</t>
  </si>
  <si>
    <t xml:space="preserve">Sainsbury's Arborio Risotto Rice 500g</t>
  </si>
  <si>
    <t xml:space="preserve">£4.50 / kg</t>
  </si>
  <si>
    <t xml:space="preserve">https://www.sainsburys.co.uk/gol-ui/SearchResults/arborio%20rice</t>
  </si>
  <si>
    <t xml:space="preserve">Tesco Risotto Rice 1Kg</t>
  </si>
  <si>
    <t xml:space="preserve">£3.30/kg</t>
  </si>
  <si>
    <t xml:space="preserve">https://www.tesco.com/groceries/en-GB/search?query=risotto%20rice</t>
  </si>
  <si>
    <t xml:space="preserve">Only Tesco standard risotto rice listed; name does not say Arborio; 1kg is the only size</t>
  </si>
  <si>
    <t xml:space="preserve">Allinson's Very Strong Wholemeal Bread Flour</t>
  </si>
  <si>
    <t xml:space="preserve">£1.95/kg</t>
  </si>
  <si>
    <t xml:space="preserve">https://groceries.morrisons.com/search?q=strong%20wholemeal%20flour</t>
  </si>
  <si>
    <t xml:space="preserve">branded; no Morrisons own-brand wholemeal flour found (Morrisons Strong Brown Flour 1.5kg £1.60 is brown not wholemeal)</t>
  </si>
  <si>
    <t xml:space="preserve">Sainsbury's Strong Stoneground 100% Wholemeal Flour 1.5kg</t>
  </si>
  <si>
    <t xml:space="preserve">1.5kg</t>
  </si>
  <si>
    <t xml:space="preserve">1500</t>
  </si>
  <si>
    <t xml:space="preserve">£1.00/kg</t>
  </si>
  <si>
    <t xml:space="preserve">https://www.sainsburys.co.uk/gol-ui/SearchResults/sainsbury's%20wholemeal%20flour</t>
  </si>
  <si>
    <t xml:space="preserve">strong (bread) wholemeal; no own-brand plain wholemeal found</t>
  </si>
  <si>
    <t xml:space="preserve">Wrights Strong Wholemeal Bread Flour 1.5Kg</t>
  </si>
  <si>
    <t xml:space="preserve">1.5Kg</t>
  </si>
  <si>
    <t xml:space="preserve">£1.07/kg</t>
  </si>
  <si>
    <t xml:space="preserve">https://www.tesco.com/groceries/en-GB/search?query=strong%20wholemeal%20bread%20flour</t>
  </si>
  <si>
    <t xml:space="preserve">branded; no Tesco own-brand wholemeal flour found except Tesco Wholemeal Chapatti Flour 10Kg (£7.50, not a household pack); Hovis Strong Wholemeal 1kg also £1.60 (£1.60/kg)</t>
  </si>
  <si>
    <t xml:space="preserve">Morrisons Plain Naan Bread</t>
  </si>
  <si>
    <t xml:space="preserve">2 x 130g</t>
  </si>
  <si>
    <t xml:space="preserve">260</t>
  </si>
  <si>
    <t xml:space="preserve">£5.77/kg</t>
  </si>
  <si>
    <t xml:space="preserve">https://groceries.morrisons.com/search?q=naan%20bread</t>
  </si>
  <si>
    <t xml:space="preserve">Sainsbury's Plain Naan x2 260g</t>
  </si>
  <si>
    <t xml:space="preserve">x2 260g</t>
  </si>
  <si>
    <t xml:space="preserve">£2.65/kg</t>
  </si>
  <si>
    <t xml:space="preserve">https://www.sainsburys.co.uk/gol-ui/SearchResults/naan%20bread</t>
  </si>
  <si>
    <t xml:space="preserve">Aldi price match; Sainsbury's Indian Plain Naan x2 260g also listed at £1.50 (£5.77/kg)</t>
  </si>
  <si>
    <t xml:space="preserve">Tesco Plain Naans 2 Pack 260G</t>
  </si>
  <si>
    <t xml:space="preserve">260G (2 pack)</t>
  </si>
  <si>
    <t xml:space="preserve">https://www.tesco.com/groceries/en-GB/search?query=naan%20bread</t>
  </si>
  <si>
    <t xml:space="preserve">Aldi Price Match line; Tesco also lists 'Tesco Plain Naan Bread 2 Pack' £1.50 (£0.75/each, Clubcard £1.00) with no weight shown</t>
  </si>
  <si>
    <t xml:space="preserve">Morrisons Stonebaked White Pittas 6 Pack</t>
  </si>
  <si>
    <t xml:space="preserve">6 per pack</t>
  </si>
  <si>
    <t xml:space="preserve">8.3p/item</t>
  </si>
  <si>
    <t xml:space="preserve">price each / 360 g (6 pittas x 60 g (Tesco product page))</t>
  </si>
  <si>
    <t xml:space="preserve">https://groceries.morrisons.com/products/morrisons-stonebaked-white-pittas-6-pack/109515964</t>
  </si>
  <si>
    <t xml:space="preserve">6 pittas; product page states no net weight. Unbeatable Price</t>
  </si>
  <si>
    <t xml:space="preserve">Sainsbury's White Pittas x6</t>
  </si>
  <si>
    <t xml:space="preserve">x6</t>
  </si>
  <si>
    <t xml:space="preserve">8p per unit</t>
  </si>
  <si>
    <t xml:space="preserve">https://www.sainsburys.co.uk/gol-ui/SearchResults/white%20pitta%20bread</t>
  </si>
  <si>
    <t xml:space="preserve">6 pittas; no pack weight shown on search page. Aldi price match</t>
  </si>
  <si>
    <t xml:space="preserve">Tesco White Plain Pitta Bread 6 Pack</t>
  </si>
  <si>
    <t xml:space="preserve">6 pack</t>
  </si>
  <si>
    <t xml:space="preserve">£0.08/each</t>
  </si>
  <si>
    <t xml:space="preserve">https://www.tesco.com/shop/en-GB/products/254945564</t>
  </si>
  <si>
    <t xml:space="preserve">6 pittas; no net pack weight stated; product page nutrition is per pitta 60g. Aldi Price Match</t>
  </si>
  <si>
    <t xml:space="preserve">Morrisons Natural Yogurt</t>
  </si>
  <si>
    <t xml:space="preserve">£2.30/kg</t>
  </si>
  <si>
    <t xml:space="preserve">https://groceries.morrisons.com/products/morrisons-natural-yogurt/103145923</t>
  </si>
  <si>
    <t xml:space="preserve">Fat level not stated; Morrisons also sells Whole Milk Natural Yoghurt 1kg £2.00 (£2.00/kg) which is explicitly whole milk</t>
  </si>
  <si>
    <t xml:space="preserve">Sainsbury's Natural Yogurt 500g</t>
  </si>
  <si>
    <t xml:space="preserve">https://www.sainsburys.co.uk/gol-ui/SearchResults/natural%20yogurt</t>
  </si>
  <si>
    <t xml:space="preserve">Fat level not stated on search page (fat free / low fat versions are labelled separately)</t>
  </si>
  <si>
    <t xml:space="preserve">Tesco Natural Yogurt 500G</t>
  </si>
  <si>
    <t xml:space="preserve">500G</t>
  </si>
  <si>
    <t xml:space="preserve">https://www.tesco.com/groceries/en-GB/search?query=natural%20yogurt</t>
  </si>
  <si>
    <t xml:space="preserve">Fat level not stated on search page (low fat / 0% versions are labelled separately)</t>
  </si>
  <si>
    <t xml:space="preserve">Morrisons Skimmed British Milk 1 Pint</t>
  </si>
  <si>
    <t xml:space="preserve">568ml</t>
  </si>
  <si>
    <t xml:space="preserve">568</t>
  </si>
  <si>
    <t xml:space="preserve">£1.50/litre</t>
  </si>
  <si>
    <t xml:space="preserve">pack price / pack weight (not used: this food's price comes from elsewhere, or too few shops)</t>
  </si>
  <si>
    <t xml:space="preserve">no</t>
  </si>
  <si>
    <t xml:space="preserve">https://groceries.morrisons.com/search?q=skimmed%20milk</t>
  </si>
  <si>
    <t xml:space="preserve">"Unbeatable Price" label; 500ml bottle £0.95 also listed (on-the-go size, not used)</t>
  </si>
  <si>
    <t xml:space="preserve">Sainsbury's British Skimmed Milk 568ml (1 pint)</t>
  </si>
  <si>
    <t xml:space="preserve">£1.50 / ltr</t>
  </si>
  <si>
    <t xml:space="preserve">https://www.sainsburys.co.uk/gol-ui/SearchResults/skimmed%20milk</t>
  </si>
  <si>
    <t xml:space="preserve">2 pint 1.13L £1.20 also available</t>
  </si>
  <si>
    <t xml:space="preserve">Tesco British Skimmed Milk 568Ml, 1 Pint</t>
  </si>
  <si>
    <t xml:space="preserve">https://www.tesco.com/groceries/en-GB/search?query=skimmed%20milk</t>
  </si>
  <si>
    <t xml:space="preserve">2 pint 1.136L £1.20 also available</t>
  </si>
  <si>
    <t xml:space="preserve">Morrisons British Double Cream</t>
  </si>
  <si>
    <t xml:space="preserve">150ml</t>
  </si>
  <si>
    <t xml:space="preserve">150</t>
  </si>
  <si>
    <t xml:space="preserve">£7.33/litre</t>
  </si>
  <si>
    <t xml:space="preserve">https://groceries.morrisons.com/search?q=double%20cream</t>
  </si>
  <si>
    <t xml:space="preserve">labelled Unbeatable Price; 300ml £1.70 (£5.67/litre)</t>
  </si>
  <si>
    <t xml:space="preserve">Sainsbury's British Double Cream 150ml</t>
  </si>
  <si>
    <t xml:space="preserve">£8.00/ltr</t>
  </si>
  <si>
    <t xml:space="preserve">https://www.sainsburys.co.uk/gol-ui/SearchResults/double%20cream</t>
  </si>
  <si>
    <t xml:space="preserve">300ml £1.70 (£5.67/ltr)</t>
  </si>
  <si>
    <t xml:space="preserve">Tesco British Double Cream 150Ml</t>
  </si>
  <si>
    <t xml:space="preserve">150Ml</t>
  </si>
  <si>
    <t xml:space="preserve">https://www.tesco.com/groceries/en-GB/search?query=double%20cream</t>
  </si>
  <si>
    <t xml:space="preserve">300ml £1.70 (£5.67/litre)</t>
  </si>
  <si>
    <t xml:space="preserve">Morrisons British Creme Fraiche</t>
  </si>
  <si>
    <t xml:space="preserve">300ml</t>
  </si>
  <si>
    <t xml:space="preserve">300</t>
  </si>
  <si>
    <t xml:space="preserve">£2.50/litre</t>
  </si>
  <si>
    <t xml:space="preserve">https://groceries.morrisons.com/search?q=fresh%20creme%20fraiche</t>
  </si>
  <si>
    <t xml:space="preserve">'creme fraiche' search returned 403 twice; this result from search 'fresh creme fraiche'; tagged Unbeatable Price</t>
  </si>
  <si>
    <t xml:space="preserve">Sainsbury's British Crème Fraîche 300ml</t>
  </si>
  <si>
    <t xml:space="preserve">£3.50/ltr</t>
  </si>
  <si>
    <t xml:space="preserve">https://www.sainsburys.co.uk/gol-ui/SearchResults/creme%20fraiche</t>
  </si>
  <si>
    <t xml:space="preserve">Tesco British Creme Fraiche 300ml</t>
  </si>
  <si>
    <t xml:space="preserve">https://www.tesco.com/groceries/en-GB/search?query=creme%20fraiche</t>
  </si>
  <si>
    <t xml:space="preserve">Aldi Price Match</t>
  </si>
  <si>
    <t xml:space="preserve">Morrisons Mozzarella 125g</t>
  </si>
  <si>
    <t xml:space="preserve">125g</t>
  </si>
  <si>
    <t xml:space="preserve">125</t>
  </si>
  <si>
    <t xml:space="preserve">£10.40/kg</t>
  </si>
  <si>
    <t xml:space="preserve">https://groceries.morrisons.com/search?q=mozzarella</t>
  </si>
  <si>
    <t xml:space="preserve">Castelli 210g Mozzarella Cheese</t>
  </si>
  <si>
    <t xml:space="preserve">210g</t>
  </si>
  <si>
    <t xml:space="preserve">£4.40/kg</t>
  </si>
  <si>
    <t xml:space="preserve">https://www.sainsburys.co.uk/gol-ui/SearchResults/mozzarella</t>
  </si>
  <si>
    <t xml:space="preserve">DOUBTFUL. branded: no standard Sainsbury's mozzarella ball listed (only Lighter 125g £1.45, pearls, grated, TTD buffalo). Castelli is cheapest branded; pack_grams 125 inferred from unit price (drained), not stated. Galbani Italian Mozzarella 125g is £1.95 (£15.60/kg)</t>
  </si>
  <si>
    <t xml:space="preserve">Tesco Mozzarella 200g</t>
  </si>
  <si>
    <t xml:space="preserve">200g (unit price on drained weight)</t>
  </si>
  <si>
    <t xml:space="preserve">£10.40/kg DR.WT</t>
  </si>
  <si>
    <t xml:space="preserve">https://www.tesco.com/groceries/en-GB/search?query=mozzarella</t>
  </si>
  <si>
    <t xml:space="preserve">Ball in brine; pack_grams = drained weight implied by DR.WT unit price (1.30/10.40 = 125 g)</t>
  </si>
  <si>
    <t xml:space="preserve">Morrisons Low Fat Natural Yogurt</t>
  </si>
  <si>
    <t xml:space="preserve">https://groceries.morrisons.com/products/morrisons-low-fat-natural-yogurt/103149414</t>
  </si>
  <si>
    <t xml:space="preserve">Sainsbury's Fat Free Natural Yogurt 500g</t>
  </si>
  <si>
    <t xml:space="preserve">£1.10/kg</t>
  </si>
  <si>
    <t xml:space="preserve">https://www.sainsburys.co.uk/gol-ui/SearchResults/low%20fat%20natural%20yogurt</t>
  </si>
  <si>
    <t xml:space="preserve">DOUBTFUL: no Sainsbury's plain low fat natural yogurt found (only Greek Style Low Fat 500g £1.15); this is fat free; Aldi price match</t>
  </si>
  <si>
    <t xml:space="preserve">Tesco 0% Fat Natural Yogurt 500G</t>
  </si>
  <si>
    <t xml:space="preserve">https://www.tesco.com/groceries/en-GB/search?query=low%20fat%20natural%20yogurt</t>
  </si>
  <si>
    <t xml:space="preserve">DOUBTFUL: no Tesco standard 'low fat' natural yogurt; this is fat free. Creamfields Low Fat Natural Yogurt 500G £0.55 is a value range (excluded)</t>
  </si>
  <si>
    <t xml:space="preserve">Morrisons Paneer 200g</t>
  </si>
  <si>
    <t xml:space="preserve">200g</t>
  </si>
  <si>
    <t xml:space="preserve">200</t>
  </si>
  <si>
    <t xml:space="preserve">£9.00/kg</t>
  </si>
  <si>
    <t xml:space="preserve">https://groceries.morrisons.com/search?q=paneer</t>
  </si>
  <si>
    <t xml:space="preserve">no price found</t>
  </si>
  <si>
    <t xml:space="preserve">https://www.sainsburys.co.uk/gol-ui/SearchResults/paneer</t>
  </si>
  <si>
    <t xml:space="preserve">Page returned no products (JavaScript-only shell) on 2 attempts</t>
  </si>
  <si>
    <t xml:space="preserve">Tesco Paneer Cheese 200G</t>
  </si>
  <si>
    <t xml:space="preserve">200G</t>
  </si>
  <si>
    <t xml:space="preserve">https://www.tesco.com/groceries/en-GB/search?query=paneer</t>
  </si>
  <si>
    <t xml:space="preserve">Morrisons Long Life Unsweetened Soya Drink</t>
  </si>
  <si>
    <t xml:space="preserve">1L</t>
  </si>
  <si>
    <t xml:space="preserve">£1.30/litre</t>
  </si>
  <si>
    <t xml:space="preserve">https://groceries.morrisons.com/search?q=unsweetened%20soya%20milk</t>
  </si>
  <si>
    <t xml:space="preserve">Sainsbury's Unsweetened Long Life Soya Drink 1L</t>
  </si>
  <si>
    <t xml:space="preserve">£1.30/ltr</t>
  </si>
  <si>
    <t xml:space="preserve">https://www.sainsburys.co.uk/gol-ui/SearchResults/unsweetened%20soya%20milk</t>
  </si>
  <si>
    <t xml:space="preserve">chilled Sainsbury's Unsweetened Soya Drink 1L £1.35</t>
  </si>
  <si>
    <t xml:space="preserve">Tesco Longlife Soya Drink Unsweetened 1Ltr</t>
  </si>
  <si>
    <t xml:space="preserve">1Ltr</t>
  </si>
  <si>
    <t xml:space="preserve">£1.15/litre</t>
  </si>
  <si>
    <t xml:space="preserve">https://www.tesco.com/groceries/en-GB/search?query=unsweetened%20soya%20milk</t>
  </si>
  <si>
    <t xml:space="preserve">long life chosen for consistency across shops; chilled Tesco Soya Drink Unsweetened 1Ltr £1.25</t>
  </si>
  <si>
    <t xml:space="preserve">Morrisons Greek Feta</t>
  </si>
  <si>
    <t xml:space="preserve">£10.75/kg</t>
  </si>
  <si>
    <t xml:space="preserve">https://groceries.morrisons.com/search?q=feta</t>
  </si>
  <si>
    <t xml:space="preserve">Sainsbury's Greek Feta Cheese 200g</t>
  </si>
  <si>
    <t xml:space="preserve">£11.75/kg</t>
  </si>
  <si>
    <t xml:space="preserve">https://www.sainsburys.co.uk/gol-ui/SearchResults/feta</t>
  </si>
  <si>
    <t xml:space="preserve">Tesco Greek Feta Cheese 200 G</t>
  </si>
  <si>
    <t xml:space="preserve">200 G</t>
  </si>
  <si>
    <t xml:space="preserve">£11.25/kg</t>
  </si>
  <si>
    <t xml:space="preserve">https://www.tesco.com/groceries/en-GB/search?query=feta</t>
  </si>
  <si>
    <t xml:space="preserve">Cadbury Bournville Dark Chocolate Cocoa Powder Tin 250g</t>
  </si>
  <si>
    <t xml:space="preserve">250g</t>
  </si>
  <si>
    <t xml:space="preserve">250</t>
  </si>
  <si>
    <t xml:space="preserve">£17.80/kg</t>
  </si>
  <si>
    <t xml:space="preserve">https://groceries.morrisons.com/search?q=cocoa%20powder</t>
  </si>
  <si>
    <t xml:space="preserve">branded: no Morrisons own-brand cocoa powder (checked 'morrisons cocoa'). Cheapest per kg non-organic; Dr. Oetker 190g is £4.00 on offer (was £4.65)</t>
  </si>
  <si>
    <t xml:space="preserve">Sainsbury's Cocoa 250g</t>
  </si>
  <si>
    <t xml:space="preserve">£14.00/kg</t>
  </si>
  <si>
    <t xml:space="preserve">https://www.sainsburys.co.uk/gol-ui/SearchResults/cocoa%20powder</t>
  </si>
  <si>
    <t xml:space="preserve">Tesco Cocoa Powder 250G</t>
  </si>
  <si>
    <t xml:space="preserve">250G</t>
  </si>
  <si>
    <t xml:space="preserve">£11.96/kg</t>
  </si>
  <si>
    <t xml:space="preserve">https://www.tesco.com/groceries/en-GB/search?query=cocoa%20powder</t>
  </si>
  <si>
    <t xml:space="preserve">Morrisons Greek Style Yogurt 500g</t>
  </si>
  <si>
    <t xml:space="preserve">https://groceries.morrisons.com/search?q=natural%20yogurt</t>
  </si>
  <si>
    <t xml:space="preserve">200g pot also sold at £0.80 (£4.00/kg) - treated as single-serve</t>
  </si>
  <si>
    <t xml:space="preserve">Sainsbury's Greek Style Natural Yogurt 500g</t>
  </si>
  <si>
    <t xml:space="preserve">200g pot also sold at 80p (£4.00/kg) - treated as single-serve</t>
  </si>
  <si>
    <t xml:space="preserve">Tesco Greek Style Yogurt 500G</t>
  </si>
  <si>
    <t xml:space="preserve">4x100g multipack excluded</t>
  </si>
  <si>
    <t xml:space="preserve">Laila Chickpeas 1kg</t>
  </si>
  <si>
    <t xml:space="preserve">£2.50/kg</t>
  </si>
  <si>
    <t xml:space="preserve">https://groceries.morrisons.com/search?q=chick%20peas</t>
  </si>
  <si>
    <t xml:space="preserve">branded; no Morrisons own-brand dried chickpeas found (only tinned); page does not state dried for this product; Indus Chickpeas 1kg also £2.50</t>
  </si>
  <si>
    <t xml:space="preserve">Sainsbury's Chickpeas 500g</t>
  </si>
  <si>
    <t xml:space="preserve">£4.60 / kg</t>
  </si>
  <si>
    <t xml:space="preserve">https://www.sainsburys.co.uk/gol-ui/SearchResults/sainsburys%20dried%20chickpeas%20500g</t>
  </si>
  <si>
    <t xml:space="preserve">DOUBTFUL: name does not say dried; listed among dried pulses and unit price fits dried (tins are listed separately as Chickpeas in Water 400g)</t>
  </si>
  <si>
    <t xml:space="preserve">Natco Chick Peas 2Kg</t>
  </si>
  <si>
    <t xml:space="preserve">2Kg</t>
  </si>
  <si>
    <t xml:space="preserve">2000</t>
  </si>
  <si>
    <t xml:space="preserve">£1.92/kg</t>
  </si>
  <si>
    <t xml:space="preserve">https://www.tesco.com/groceries/en-GB/search?query=tesco%20chick%20peas%20dried</t>
  </si>
  <si>
    <t xml:space="preserve">branded; no Tesco own-brand dried chickpeas found; name does not say dried (2kg bag); Laila Chickpeas 2Kg £4.00 also listed</t>
  </si>
  <si>
    <t xml:space="preserve">Morrisons Wholefoods Green Lentils</t>
  </si>
  <si>
    <t xml:space="preserve">£4.10/kg</t>
  </si>
  <si>
    <t xml:space="preserve">https://groceries.morrisons.com/search?q=green%20lentils</t>
  </si>
  <si>
    <t xml:space="preserve">Sainsbury's Dried Green Lentils 500g</t>
  </si>
  <si>
    <t xml:space="preserve">£4.20/kg</t>
  </si>
  <si>
    <t xml:space="preserve">https://www.sainsburys.co.uk/gol-ui/SearchResults/sainsbury's%20green%20lentils</t>
  </si>
  <si>
    <t xml:space="preserve">Sainsbury's Green Lentils 250g £1.45 (£5.80/kg) also listed but page did not say if dried, so not used</t>
  </si>
  <si>
    <t xml:space="preserve">Tesco Lentilles Vertes 500G</t>
  </si>
  <si>
    <t xml:space="preserve">https://www.tesco.com/groceries/en-GB/search?query=tesco%20green%20lentils</t>
  </si>
  <si>
    <t xml:space="preserve">dried French green lentils; only Tesco own-brand dried green lentil found</t>
  </si>
  <si>
    <t xml:space="preserve">Morrisons Purple Aubergine</t>
  </si>
  <si>
    <t xml:space="preserve">single item</t>
  </si>
  <si>
    <t xml:space="preserve">95.0p/item</t>
  </si>
  <si>
    <t xml:space="preserve">price each / 548 g (USDA FDC 169228, 1 aubergine)</t>
  </si>
  <si>
    <t xml:space="preserve">https://groceries.morrisons.com/search?q=aubergines</t>
  </si>
  <si>
    <t xml:space="preserve">'aubergine' search returned 403 twice; this from search 'aubergines'; sold each, no weight given; tagged Unbeatable Price</t>
  </si>
  <si>
    <t xml:space="preserve">Sainsbury's Aubergine</t>
  </si>
  <si>
    <t xml:space="preserve">each</t>
  </si>
  <si>
    <t xml:space="preserve">95p/each</t>
  </si>
  <si>
    <t xml:space="preserve">https://www.sainsburys.co.uk/gol-ui/SearchResults/aubergines</t>
  </si>
  <si>
    <t xml:space="preserve">'aubergine' search page failed to render twice (JS only); this from search 'aubergines'; sold each, no weight given</t>
  </si>
  <si>
    <t xml:space="preserve">Tesco Aubergine Each</t>
  </si>
  <si>
    <t xml:space="preserve">excluded: £2.70 and out of stock on two fetches, far above the other two shops</t>
  </si>
  <si>
    <t xml:space="preserve">https://www.tesco.com/groceries/en-GB/search?query=aubergine</t>
  </si>
  <si>
    <t xml:space="preserve">DOUBTFUL: shown as £2.7 and out of stock on two fetches; no unit price or weight shown; high vs Sainsbury's/Morrisons 95p each</t>
  </si>
  <si>
    <t xml:space="preserve">Morrisons Bunched Fresh Beetroot</t>
  </si>
  <si>
    <t xml:space="preserve">per bunch</t>
  </si>
  <si>
    <t xml:space="preserve">£2.30/item</t>
  </si>
  <si>
    <t xml:space="preserve">no weight, not used</t>
  </si>
  <si>
    <t xml:space="preserve">https://groceries.morrisons.com/products/morrisons-bunched-fresh-beetroot/111002181</t>
  </si>
  <si>
    <t xml:space="preserve">Raw bunched; product page gives no weight or count</t>
  </si>
  <si>
    <t xml:space="preserve">Sainsbury's Bunched Beetroot 500g</t>
  </si>
  <si>
    <t xml:space="preserve">£4.60/kg</t>
  </si>
  <si>
    <t xml:space="preserve">https://www.sainsburys.co.uk/gol-ui/SearchResults/beetroot</t>
  </si>
  <si>
    <t xml:space="preserve">Raw bunched</t>
  </si>
  <si>
    <t xml:space="preserve">https://www.tesco.com/groceries/en-GB/search?query=beetroot</t>
  </si>
  <si>
    <t xml:space="preserve">No standard raw beetroot found (searched 'beetroot' and 'raw beetroot'); only own-brand raw option is Tesco Organic Beetroot 450g £2.20 (£4.89/kg), excluded as organic</t>
  </si>
  <si>
    <t xml:space="preserve">Morrisons British Red Cabbage 450-1350g</t>
  </si>
  <si>
    <t xml:space="preserve">450-1350g (each)</t>
  </si>
  <si>
    <t xml:space="preserve">89.0p/item</t>
  </si>
  <si>
    <t xml:space="preserve">price each / 839 g (USDA FDC 169977, 1 medium red cabbage head)</t>
  </si>
  <si>
    <t xml:space="preserve">https://groceries.morrisons.com/search?q=red%20cabbage</t>
  </si>
  <si>
    <t xml:space="preserve">Sold per item; weight range 450-1350g</t>
  </si>
  <si>
    <t xml:space="preserve">Sainsbury's Red Cabbage Each</t>
  </si>
  <si>
    <t xml:space="preserve">Each</t>
  </si>
  <si>
    <t xml:space="preserve">89p / ea</t>
  </si>
  <si>
    <t xml:space="preserve">https://www.sainsburys.co.uk/gol-ui/SearchResults/red%20cabbage</t>
  </si>
  <si>
    <t xml:space="preserve">Sold per item; weight not stated</t>
  </si>
  <si>
    <t xml:space="preserve">Tesco Red Cabbage Each</t>
  </si>
  <si>
    <t xml:space="preserve">£0.89/each</t>
  </si>
  <si>
    <t xml:space="preserve">https://www.tesco.com/groceries/en-GB/search?query=red%20cabbage</t>
  </si>
  <si>
    <t xml:space="preserve">Morrisons British Sliced Kale 150g</t>
  </si>
  <si>
    <t xml:space="preserve">150g</t>
  </si>
  <si>
    <t xml:space="preserve">£4.47/kg</t>
  </si>
  <si>
    <t xml:space="preserve">https://groceries.morrisons.com/search?q=kale</t>
  </si>
  <si>
    <t xml:space="preserve">sliced kale is the only own-brand standard kale listed</t>
  </si>
  <si>
    <t xml:space="preserve">https://www.sainsburys.co.uk/gol-ui/SearchResults/kale</t>
  </si>
  <si>
    <t xml:space="preserve">Tesco Curly Kale 180G</t>
  </si>
  <si>
    <t xml:space="preserve">180G</t>
  </si>
  <si>
    <t xml:space="preserve">180</t>
  </si>
  <si>
    <t xml:space="preserve">£4.44/kg</t>
  </si>
  <si>
    <t xml:space="preserve">https://www.tesco.com/groceries/en-GB/search?query=kale</t>
  </si>
  <si>
    <t xml:space="preserve">Aldi Price Match (shelf price)</t>
  </si>
  <si>
    <t xml:space="preserve">Morrisons Garlic Bulbs 4 Pack</t>
  </si>
  <si>
    <t xml:space="preserve">4 per pack</t>
  </si>
  <si>
    <t xml:space="preserve">21.8p/item</t>
  </si>
  <si>
    <t xml:space="preserve">https://groceries.morrisons.com/search?q=garlic</t>
  </si>
  <si>
    <t xml:space="preserve">4 bulbs; no net weight shown</t>
  </si>
  <si>
    <t xml:space="preserve">Sainsbury's Garlic x4</t>
  </si>
  <si>
    <t xml:space="preserve">x4</t>
  </si>
  <si>
    <t xml:space="preserve">22p/ea</t>
  </si>
  <si>
    <t xml:space="preserve">https://www.sainsburys.co.uk/gol-ui/SearchResults/sainsbury's%20garlic%20x4</t>
  </si>
  <si>
    <t xml:space="preserve">4 bulbs; no net weight shown; Sainsbury's Large Garlic 50p each</t>
  </si>
  <si>
    <t xml:space="preserve">Tesco Garlic 4 Pack</t>
  </si>
  <si>
    <t xml:space="preserve">4 Pack</t>
  </si>
  <si>
    <t xml:space="preserve">£0.22/each</t>
  </si>
  <si>
    <t xml:space="preserve">https://www.tesco.com/groceries/en-GB/search?query=garlic</t>
  </si>
  <si>
    <t xml:space="preserve">4 bulbs; no net weight shown; Tesco Large Garlic £0.50 each</t>
  </si>
  <si>
    <t xml:space="preserve">Morrisons Market St Okra</t>
  </si>
  <si>
    <t xml:space="preserve">£8.75/kg</t>
  </si>
  <si>
    <t xml:space="preserve">https://groceries.morrisons.com/search?q=okra</t>
  </si>
  <si>
    <t xml:space="preserve">fresh</t>
  </si>
  <si>
    <t xml:space="preserve">Sainsbury's Okra 175g</t>
  </si>
  <si>
    <t xml:space="preserve">175g</t>
  </si>
  <si>
    <t xml:space="preserve">175</t>
  </si>
  <si>
    <t xml:space="preserve">£10.00/kg</t>
  </si>
  <si>
    <t xml:space="preserve">https://www.sainsburys.co.uk/gol-ui/SearchResults/okra</t>
  </si>
  <si>
    <t xml:space="preserve">Surya Cut Okra 300g</t>
  </si>
  <si>
    <t xml:space="preserve">300g</t>
  </si>
  <si>
    <t xml:space="preserve">£3.17/kg</t>
  </si>
  <si>
    <t xml:space="preserve">excluded: frozen cut okra; the food is fresh raw okra</t>
  </si>
  <si>
    <t xml:space="preserve">https://www.tesco.com/groceries/en-GB/search?query=okra</t>
  </si>
  <si>
    <t xml:space="preserve">branded; FROZEN cut okra - no fresh okra or Tesco own-brand okra listed</t>
  </si>
  <si>
    <t xml:space="preserve">Morrisons Finger Chillies 50g</t>
  </si>
  <si>
    <t xml:space="preserve">50g</t>
  </si>
  <si>
    <t xml:space="preserve">50</t>
  </si>
  <si>
    <t xml:space="preserve">£14.40/kg</t>
  </si>
  <si>
    <t xml:space="preserve">https://groceries.morrisons.com/search?q=green%20chilli</t>
  </si>
  <si>
    <t xml:space="preserve">DOUBTFUL: no fresh Morrisons product named green chillies; finger chillies colour not stated on page</t>
  </si>
  <si>
    <t xml:space="preserve">Sainsbury's Green Chillies 65g</t>
  </si>
  <si>
    <t xml:space="preserve">65g</t>
  </si>
  <si>
    <t xml:space="preserve">65</t>
  </si>
  <si>
    <t xml:space="preserve">£11.54/kg</t>
  </si>
  <si>
    <t xml:space="preserve">https://www.sainsburys.co.uk/gol-ui/SearchResults/green%20chillies</t>
  </si>
  <si>
    <t xml:space="preserve">Tesco Finger Chillies 80G</t>
  </si>
  <si>
    <t xml:space="preserve">80G</t>
  </si>
  <si>
    <t xml:space="preserve">80</t>
  </si>
  <si>
    <t xml:space="preserve">£14.38/kg</t>
  </si>
  <si>
    <t xml:space="preserve">https://www.tesco.com/groceries/en-GB/search?query=tesco%20green%20chilli</t>
  </si>
  <si>
    <t xml:space="preserve">DOUBTFUL: no Tesco product named green chillies; finger chillies colour not stated on page</t>
  </si>
  <si>
    <t xml:space="preserve">Morrisons Fresh Red Chillies 50g</t>
  </si>
  <si>
    <t xml:space="preserve">£11.80/kg</t>
  </si>
  <si>
    <t xml:space="preserve">https://groceries.morrisons.com/search?q=red%20chilli</t>
  </si>
  <si>
    <t xml:space="preserve">'red chillies' search returned 403 twice; this is from the 'red chilli' search</t>
  </si>
  <si>
    <t xml:space="preserve">Sainsbury's Red Chillies 65g</t>
  </si>
  <si>
    <t xml:space="preserve">£8.46/kg</t>
  </si>
  <si>
    <t xml:space="preserve">https://www.sainsburys.co.uk/gol-ui/SearchResults/red%20chillies</t>
  </si>
  <si>
    <t xml:space="preserve">Tesco Red Chillies 60G</t>
  </si>
  <si>
    <t xml:space="preserve">60G</t>
  </si>
  <si>
    <t xml:space="preserve">60</t>
  </si>
  <si>
    <t xml:space="preserve">£8.50/kg</t>
  </si>
  <si>
    <t xml:space="preserve">https://www.tesco.com/groceries/en-GB/search?query=red%20chillies</t>
  </si>
  <si>
    <t xml:space="preserve">Morrisons Loose Green Pepper</t>
  </si>
  <si>
    <t xml:space="preserve">1 item</t>
  </si>
  <si>
    <t xml:space="preserve">70.0p/item</t>
  </si>
  <si>
    <t xml:space="preserve">price each / 119 g (USDA FDC 170427, 1 medium green pepper)</t>
  </si>
  <si>
    <t xml:space="preserve">https://groceries.morrisons.com/products/morrisons-loose-green-pepper/108408294</t>
  </si>
  <si>
    <t xml:space="preserve">Product page shows no weight or per-kg price; pack_grams left blank. Morrisons lists two identical green pepper entries at 0.70 (also 108408497).</t>
  </si>
  <si>
    <t xml:space="preserve">Sainsbury's Green Pepper</t>
  </si>
  <si>
    <t xml:space="preserve">70p/ea</t>
  </si>
  <si>
    <t xml:space="preserve">https://www.sainsburys.co.uk/gol-ui/SearchResults/green%20pepper</t>
  </si>
  <si>
    <t xml:space="preserve">No per-kg price or typical weight shown on search page; product page URL not available so pack_grams left blank.</t>
  </si>
  <si>
    <t xml:space="preserve">https://www.tesco.com/groceries/en-GB/search?query=green%20peppers</t>
  </si>
  <si>
    <t xml:space="preserve">No fresh loose green pepper listed in Tesco search (queries: green pepper, green peppers); only jarred/sauce/olive products. Blank.</t>
  </si>
  <si>
    <t xml:space="preserve">https://groceries.morrisons.com/search?q=shallot</t>
  </si>
  <si>
    <t xml:space="preserve">No standard own-brand or branded raw shallots found (2 searches); only premium Morrisons The Best Shallots 300g £1.10 (£3.67/kg)</t>
  </si>
  <si>
    <t xml:space="preserve">Sainsbury's Shallots 400g</t>
  </si>
  <si>
    <t xml:space="preserve">400g</t>
  </si>
  <si>
    <t xml:space="preserve">400</t>
  </si>
  <si>
    <t xml:space="preserve">£3.38 / kg</t>
  </si>
  <si>
    <t xml:space="preserve">https://www.sainsburys.co.uk/gol-ui/SearchResults/shallots</t>
  </si>
  <si>
    <t xml:space="preserve">Tesco Shallots Onions 400G</t>
  </si>
  <si>
    <t xml:space="preserve">400G</t>
  </si>
  <si>
    <t xml:space="preserve">£3.38/kg</t>
  </si>
  <si>
    <t xml:space="preserve">https://www.tesco.com/groceries/en-GB/search?query=shallots</t>
  </si>
  <si>
    <t xml:space="preserve">Clubcard Price £1.00 ignored</t>
  </si>
  <si>
    <t xml:space="preserve">Morrisons Salad Onions</t>
  </si>
  <si>
    <t xml:space="preserve">minimum 100g</t>
  </si>
  <si>
    <t xml:space="preserve">100</t>
  </si>
  <si>
    <t xml:space="preserve">65.0p/item</t>
  </si>
  <si>
    <t xml:space="preserve">https://groceries.morrisons.com/search?q=spring%20onions</t>
  </si>
  <si>
    <t xml:space="preserve">labelled Unbeatable Price; pack is minimum 100g</t>
  </si>
  <si>
    <t xml:space="preserve">Sainsbury's Spring Onions Bunch 100g</t>
  </si>
  <si>
    <t xml:space="preserve">100g</t>
  </si>
  <si>
    <t xml:space="preserve">69p/ea</t>
  </si>
  <si>
    <t xml:space="preserve">https://www.sainsburys.co.uk/gol-ui/SearchResults/spring%20onion</t>
  </si>
  <si>
    <t xml:space="preserve">search 'spring onions' failed twice (JS page), 'spring onion' worked</t>
  </si>
  <si>
    <t xml:space="preserve">Tesco Bunched Spring Onions 100G</t>
  </si>
  <si>
    <t xml:space="preserve">100G</t>
  </si>
  <si>
    <t xml:space="preserve">£6.90/kg</t>
  </si>
  <si>
    <t xml:space="preserve">https://www.tesco.com/groceries/en-GB/search?query=spring%20onions</t>
  </si>
  <si>
    <t xml:space="preserve">Clubcard price £0.49 ignored</t>
  </si>
  <si>
    <t xml:space="preserve">Morrisons Butternut Squash</t>
  </si>
  <si>
    <t xml:space="preserve">£1.50/item</t>
  </si>
  <si>
    <t xml:space="preserve">https://groceries.morrisons.com/search?q=butternut%20squash</t>
  </si>
  <si>
    <t xml:space="preserve">DOUBTFUL which line is standard: page lists two items both named 'Morrisons Butternut Squash', £1.50/item (3 days life) and £1.35/item (1 week life); no weights shown</t>
  </si>
  <si>
    <t xml:space="preserve">Sainsbury's Butternut Squash Loose</t>
  </si>
  <si>
    <t xml:space="preserve">per kg (loose)</t>
  </si>
  <si>
    <t xml:space="preserve">£1.50/kg</t>
  </si>
  <si>
    <t xml:space="preserve">https://www.sainsburys.co.uk/gol-ui/SearchResults/butternut%20squash</t>
  </si>
  <si>
    <t xml:space="preserve">sold loose by weight; Nectar price £1.10/kg (save 25%) ignored, regular £1.50/kg recorded</t>
  </si>
  <si>
    <t xml:space="preserve">Tesco Butternut Squash Each</t>
  </si>
  <si>
    <t xml:space="preserve">£1.50/each</t>
  </si>
  <si>
    <t xml:space="preserve">https://www.tesco.com/groceries/en-GB/search?query=butternut%20squash</t>
  </si>
  <si>
    <t xml:space="preserve">sold each; no weight shown</t>
  </si>
  <si>
    <t xml:space="preserve">Morrisons Medium Cauliflower</t>
  </si>
  <si>
    <t xml:space="preserve">Single item</t>
  </si>
  <si>
    <t xml:space="preserve">£1.19/item</t>
  </si>
  <si>
    <t xml:space="preserve">price each / 588 g (USDA FDC 169986, 1 medium head)</t>
  </si>
  <si>
    <t xml:space="preserve">https://groceries.morrisons.com/products/morrisons-medium-cauliflower/108303071</t>
  </si>
  <si>
    <t xml:space="preserve">Medium size chosen as the standard (a Large one is £2.10). Product page shows no weight or per-kg price; pack_grams left blank.</t>
  </si>
  <si>
    <t xml:space="preserve">Sainsbury's Cauliflower</t>
  </si>
  <si>
    <t xml:space="preserve">£1.18/ea</t>
  </si>
  <si>
    <t xml:space="preserve">https://www.sainsburys.co.uk/gol-ui/SearchResults/cauliflower%20each</t>
  </si>
  <si>
    <t xml:space="preserve">No per-kg price or typical weight shown; pack_grams left blank. Search for 'cauliflower' alone failed to load (JavaScript page) so the 'cauliflower each' search was used.</t>
  </si>
  <si>
    <t xml:space="preserve">Tesco Cauliflower Each</t>
  </si>
  <si>
    <t xml:space="preserve">£1.18/each</t>
  </si>
  <si>
    <t xml:space="preserve">https://www.tesco.com/shop/en-GB/products/253558119</t>
  </si>
  <si>
    <t xml:space="preserve">Product page shows no per-kg price or typical weight; pack_grams left blank.</t>
  </si>
  <si>
    <t xml:space="preserve">Morrisons Cherry Tomatoes 420g</t>
  </si>
  <si>
    <t xml:space="preserve">420g</t>
  </si>
  <si>
    <t xml:space="preserve">420</t>
  </si>
  <si>
    <t xml:space="preserve">£3.33/kg</t>
  </si>
  <si>
    <t xml:space="preserve">https://groceries.morrisons.com/search?q=cherry%20tomatoes</t>
  </si>
  <si>
    <t xml:space="preserve">Morrisons Vine Ripe Cherry Tomatoes 225g also listed at £1.35 (£6.00/kg)</t>
  </si>
  <si>
    <t xml:space="preserve">Sainsbury's 330g Cherry Tomatoes</t>
  </si>
  <si>
    <t xml:space="preserve">330g</t>
  </si>
  <si>
    <t xml:space="preserve">330</t>
  </si>
  <si>
    <t xml:space="preserve">£2.70/kg</t>
  </si>
  <si>
    <t xml:space="preserve">https://www.sainsburys.co.uk/gol-ui/SearchResults/cherry%20tomatoes</t>
  </si>
  <si>
    <t xml:space="preserve">Tesco Cherry Tomatoes 300G</t>
  </si>
  <si>
    <t xml:space="preserve">300G</t>
  </si>
  <si>
    <t xml:space="preserve">https://www.tesco.com/groceries/en-GB/search?query=cherry%20tomatoes</t>
  </si>
  <si>
    <t xml:space="preserve">Morrisons British Iceberg Lettuce</t>
  </si>
  <si>
    <t xml:space="preserve">1 head</t>
  </si>
  <si>
    <t xml:space="preserve">price each / 539 g (USDA FDC 169248, 1 medium iceberg head)</t>
  </si>
  <si>
    <t xml:space="preserve">https://groceries.morrisons.com/products/morrisons-british-iceberg-lettuce/108370943</t>
  </si>
  <si>
    <t xml:space="preserve">Product page shows no weight or per-kg price; pack_grams left blank.</t>
  </si>
  <si>
    <t xml:space="preserve">Sainsbury's Iceberg Lettuce</t>
  </si>
  <si>
    <t xml:space="preserve">Single unit</t>
  </si>
  <si>
    <t xml:space="preserve">https://www.sainsburys.co.uk/gol-ui/SearchResults/iceberg%20lettuce</t>
  </si>
  <si>
    <t xml:space="preserve">No per-kg price or typical weight shown; pack_grams left blank.</t>
  </si>
  <si>
    <t xml:space="preserve">Tesco Iceberg Lettuce Each</t>
  </si>
  <si>
    <t xml:space="preserve">https://www.tesco.com/shop/en-GB/products/253557495</t>
  </si>
  <si>
    <t xml:space="preserve">Morrisons Baby Spinach 160g</t>
  </si>
  <si>
    <t xml:space="preserve">160g</t>
  </si>
  <si>
    <t xml:space="preserve">160</t>
  </si>
  <si>
    <t xml:space="preserve">£6.25/kg</t>
  </si>
  <si>
    <t xml:space="preserve">https://groceries.morrisons.com/search?q=baby%20spinach</t>
  </si>
  <si>
    <t xml:space="preserve">Sainsbury's Baby Leaf Spinach 120g</t>
  </si>
  <si>
    <t xml:space="preserve">120g</t>
  </si>
  <si>
    <t xml:space="preserve">120</t>
  </si>
  <si>
    <t xml:space="preserve">£8.33/kg</t>
  </si>
  <si>
    <t xml:space="preserve">https://www.sainsburys.co.uk/gol-ui/SearchResults/baby%20spinach</t>
  </si>
  <si>
    <t xml:space="preserve">Tesco Baby Spinach 220G</t>
  </si>
  <si>
    <t xml:space="preserve">220G</t>
  </si>
  <si>
    <t xml:space="preserve">220</t>
  </si>
  <si>
    <t xml:space="preserve">£7.50/kg</t>
  </si>
  <si>
    <t xml:space="preserve">https://www.tesco.com/groceries/en-GB/search?query=baby%20spinach</t>
  </si>
  <si>
    <t xml:space="preserve">Smallest pack; Tesco Baby Spinach 250G also listed at £1.30 (£5.20/kg); Clubcard £1.20 ignored</t>
  </si>
  <si>
    <t xml:space="preserve">Morrisons Whole Cucumber</t>
  </si>
  <si>
    <t xml:space="preserve">Individual item</t>
  </si>
  <si>
    <t xml:space="preserve">99.0p/item</t>
  </si>
  <si>
    <t xml:space="preserve">price each / 301 g (USDA FDC 168409, 1 cucumber)</t>
  </si>
  <si>
    <t xml:space="preserve">https://groceries.morrisons.com/products/morrisons-whole-cucumber/108413093</t>
  </si>
  <si>
    <t xml:space="preserve">Sainsbury's Whole Cucumber</t>
  </si>
  <si>
    <t xml:space="preserve">99p/ea</t>
  </si>
  <si>
    <t xml:space="preserve">https://www.sainsburys.co.uk/gol-ui/SearchResults/cucumber</t>
  </si>
  <si>
    <t xml:space="preserve">No per-kg price or typical weight shown for the standard whole cucumber; pack_grams left blank. (The separate Sainsbury's Small Whole Cucumber at 70p shows £3.89/kg but is not the standard item.)</t>
  </si>
  <si>
    <t xml:space="preserve">Tesco Whole Cucumber Each</t>
  </si>
  <si>
    <t xml:space="preserve">£0.99/each</t>
  </si>
  <si>
    <t xml:space="preserve">https://www.tesco.com/shop/en-GB/products/253558972</t>
  </si>
  <si>
    <t xml:space="preserve">Product page shows no per-kg price or typical weight; pack_grams left blank. Tesco Whole Large Cucumber was out of stock.</t>
  </si>
  <si>
    <t xml:space="preserve">Morrisons Loose Red Pepper</t>
  </si>
  <si>
    <t xml:space="preserve">price each / 119 g (USDA FDC 170108, 1 medium red pepper)</t>
  </si>
  <si>
    <t xml:space="preserve">https://groceries.morrisons.com/products/morrisons-loose-red-pepper/108407187</t>
  </si>
  <si>
    <t xml:space="preserve">Product page shows no weight or per-kg price; pack_grams left blank. A duplicate listing exists at 108408403, same price.</t>
  </si>
  <si>
    <t xml:space="preserve">Sainsbury's Red Pepper</t>
  </si>
  <si>
    <t xml:space="preserve">https://www.sainsburys.co.uk/gol-ui/SearchResults/red%20pepper</t>
  </si>
  <si>
    <t xml:space="preserve">No per-kg price or typical weight shown; pack_grams left blank. Taste the Difference red sweet pointed pepper (75p) ignored as premium.</t>
  </si>
  <si>
    <t xml:space="preserve">https://www.tesco.com/groceries/en-GB/search?query=red%20peppers</t>
  </si>
  <si>
    <t xml:space="preserve">No fresh loose red pepper listed in Tesco search (queries: red pepper, red peppers, peppers); only jarred/sauce/ready-meal products. Blank.</t>
  </si>
  <si>
    <t xml:space="preserve">Morrisons Loose Yellow Pepper</t>
  </si>
  <si>
    <t xml:space="preserve">price each / 119 g (USDA FDC 170108, 1 medium red pepper (USDA lists no medium yellow pepper))</t>
  </si>
  <si>
    <t xml:space="preserve">https://groceries.morrisons.com/products/morrisons-loose-yellow-pepper/108408462</t>
  </si>
  <si>
    <t xml:space="preserve">Product page shows no weight or per-kg price; pack_grams left blank. A duplicate listing exists at 108408374, same price.</t>
  </si>
  <si>
    <t xml:space="preserve">Sainsbury's Yellow Pepper</t>
  </si>
  <si>
    <t xml:space="preserve">https://www.sainsburys.co.uk/gol-ui/SearchResults/yellow%20pepper</t>
  </si>
  <si>
    <t xml:space="preserve">Tesco Yellow Peppers Each</t>
  </si>
  <si>
    <t xml:space="preserve">£0.70/each</t>
  </si>
  <si>
    <t xml:space="preserve">https://www.tesco.com/shop/en-GB/products/258905427</t>
  </si>
  <si>
    <t xml:space="preserve">DOUBTFUL stock: the search page showed this item out of stock with no price, but the product page showed £0.70 and an Add button. Price taken from the product page. No weight or per-kg price shown; pack_grams left blank. (Unit price text '£0.70/each' is from the page price line.)</t>
  </si>
  <si>
    <t xml:space="preserve">Morrisons Sweet Corn In Water (198g)</t>
  </si>
  <si>
    <t xml:space="preserve">198g (drained 160g) (net 198 g, drained 160 g)</t>
  </si>
  <si>
    <t xml:space="preserve">£3.44/kg</t>
  </si>
  <si>
    <t xml:space="preserve">https://groceries.morrisons.com/products/morrisons-sweet-corn-in-water-198g/109319904</t>
  </si>
  <si>
    <t xml:space="preserve">Priced per kg of drained weight. Drained weight read on product page. 0.55/0.160 = 3.44 matches. Morrisons Savers 326g (value range) not used.</t>
  </si>
  <si>
    <t xml:space="preserve">Sainsbury's Naturally Sweet Sweetcorn In Water 198g (157g*)</t>
  </si>
  <si>
    <t xml:space="preserve">198g (157g*) (net 198 g, drained 157 g)</t>
  </si>
  <si>
    <t xml:space="preserve">157</t>
  </si>
  <si>
    <t xml:space="preserve">£1.82/kg</t>
  </si>
  <si>
    <t xml:space="preserve">https://www.sainsburys.co.uk/gol-ui/SearchResults/naturally%20sweet%20sweetcorn%20in%20water%20198g</t>
  </si>
  <si>
    <t xml:space="preserve">Priced per kg of drained weight. DOUBTFUL: shown unit price £1.82/kg does not match 0.30/0.157 = 1.91 or 0.30/0.198 = 1.52. Same figures returned on 3 fetches; no product page URL to check. Basis left blank. Larger 325g (260g*) tin is 50p at £1.85/kg.</t>
  </si>
  <si>
    <t xml:space="preserve">Tesco Naturally Sweet Sweetcorn 200G</t>
  </si>
  <si>
    <t xml:space="preserve">200g (drained 160g) (net 200 g, drained 160 g)</t>
  </si>
  <si>
    <t xml:space="preserve">£3.12/kg DR.WT</t>
  </si>
  <si>
    <t xml:space="preserve">https://www.tesco.com/shop/en-GB/products/252695430</t>
  </si>
  <si>
    <t xml:space="preserve">Priced per kg of drained weight. Drained weight read on product page. Smallest own-brand single tin; a 325g tin is also sold at £0.53 (£2.04/kg DR.WT). Own-brand 3x200g multipack not used. 0.50/0.160 = 3.12 matches.</t>
  </si>
  <si>
    <t xml:space="preserve">Morrisons Tomato Puree (200g)</t>
  </si>
  <si>
    <t xml:space="preserve">£2.95/kg</t>
  </si>
  <si>
    <t xml:space="preserve">https://groceries.morrisons.com/search?q=tomato%20puree</t>
  </si>
  <si>
    <t xml:space="preserve">Sainsbury's Italian Tomato Purée Double Concentrate 142g</t>
  </si>
  <si>
    <t xml:space="preserve">142g</t>
  </si>
  <si>
    <t xml:space="preserve">142</t>
  </si>
  <si>
    <t xml:space="preserve">£5.63 / kg</t>
  </si>
  <si>
    <t xml:space="preserve">https://www.sainsburys.co.uk/gol-ui/SearchResults/tomato%20puree</t>
  </si>
  <si>
    <t xml:space="preserve">smallest pack; Sainsbury's Tomato Puree Double Concentrate 200g 59p (£2.95/kg) also available</t>
  </si>
  <si>
    <t xml:space="preserve">Tesco Tomato Puree 200G</t>
  </si>
  <si>
    <t xml:space="preserve">https://www.tesco.com/groceries/en-GB/search?query=tomato%20puree</t>
  </si>
  <si>
    <t xml:space="preserve">Dragonfly Super Firm Fresh Organic Tofu 300g</t>
  </si>
  <si>
    <t xml:space="preserve">£6.67/kg</t>
  </si>
  <si>
    <t xml:space="preserve">https://groceries.morrisons.com/search?q=tofu</t>
  </si>
  <si>
    <t xml:space="preserve">branded (organic); only own-brand is Morrisons Plant Revolution Super Firm Organic Tofu 200g £1.20 (£6.00/kg) - organic so excluded; no non-organic branded firm tofu shown</t>
  </si>
  <si>
    <t xml:space="preserve">Cauldron 200g Extra Firm Tofu</t>
  </si>
  <si>
    <t xml:space="preserve">https://www.sainsburys.co.uk/gol-ui/SearchResults/firm%20tofu</t>
  </si>
  <si>
    <t xml:space="preserve">branded; only own-brand is SO Organic Super Firm Tofu 300g £1.42 (£4.73/kg) - organic so excluded; search 'tofu' failed twice (JS page), 'firm tofu' worked</t>
  </si>
  <si>
    <t xml:space="preserve">Cauldron Extra Firm Tofu Block 200g</t>
  </si>
  <si>
    <t xml:space="preserve">https://www.tesco.com/groceries/en-GB/search?query=tofu</t>
  </si>
  <si>
    <t xml:space="preserve">branded; only Tesco own-brand is Tesco Plant Chef Organic Firm Tofu 399g £1.95 (£6.50/kg) - organic so excluded per rules</t>
  </si>
  <si>
    <t xml:space="preserve">Morrisons Spinach</t>
  </si>
  <si>
    <t xml:space="preserve">450g</t>
  </si>
  <si>
    <t xml:space="preserve">450</t>
  </si>
  <si>
    <t xml:space="preserve">https://groceries.morrisons.com/search?q=spinach</t>
  </si>
  <si>
    <t xml:space="preserve">Sainsbury's Young Spinach 260g</t>
  </si>
  <si>
    <t xml:space="preserve">260g</t>
  </si>
  <si>
    <t xml:space="preserve">£5.19/kg</t>
  </si>
  <si>
    <t xml:space="preserve">https://www.sainsburys.co.uk/gol-ui/SearchResults/fresh%20spinach</t>
  </si>
  <si>
    <t xml:space="preserve">'spinach' search failed to render twice (JS only); this from 'fresh spinach'; no mature spinach listed, young spinach closest; Nectar price 95p ignored, was £1.35 recorded</t>
  </si>
  <si>
    <t xml:space="preserve">Tesco Spinach 500G</t>
  </si>
  <si>
    <t xml:space="preserve">£3.54/kg</t>
  </si>
  <si>
    <t xml:space="preserve">https://www.tesco.com/groceries/en-GB/search?query=spinach</t>
  </si>
  <si>
    <t xml:space="preserve">Aldi Price Match; mature (non-baby) spinach</t>
  </si>
  <si>
    <t xml:space="preserve">Quorn Vegetarian Pieces 300g</t>
  </si>
  <si>
    <t xml:space="preserve">£5.00/kg (offer price)</t>
  </si>
  <si>
    <t xml:space="preserve">https://groceries.morrisons.com/search?q=quorn%20pieces</t>
  </si>
  <si>
    <t xml:space="preserve">branded (Quorn only). On offer: Now £1.50, Was £2.75; was price recorded</t>
  </si>
  <si>
    <t xml:space="preserve">Quorn Vegetarian Chicken Style Pieces 300g</t>
  </si>
  <si>
    <t xml:space="preserve">£9.17/kg</t>
  </si>
  <si>
    <t xml:space="preserve">https://www.sainsburys.co.uk/gol-ui/SearchResults/quorn%20pieces</t>
  </si>
  <si>
    <t xml:space="preserve">branded (Quorn only)</t>
  </si>
  <si>
    <t xml:space="preserve">Quorn Chicken Style Pieces 300G</t>
  </si>
  <si>
    <t xml:space="preserve">https://www.tesco.com/groceries/en-GB/search?query=quorn%20pieces</t>
  </si>
  <si>
    <t xml:space="preserve">branded (Quorn only). Clubcard Price £1.50 ignored</t>
  </si>
  <si>
    <t xml:space="preserve">Morrisons British White Cabbage</t>
  </si>
  <si>
    <t xml:space="preserve">Individual head</t>
  </si>
  <si>
    <t xml:space="preserve">price each / 908 g (USDA FDC 169975, 1 medium head)</t>
  </si>
  <si>
    <t xml:space="preserve">https://groceries.morrisons.com/products/morrisons-british-white-cabbage/108300785</t>
  </si>
  <si>
    <t xml:space="preserve">Product page shows no weight or per-kg price (page says it may be a half cabbage with no loss in weight); pack_grams left blank.</t>
  </si>
  <si>
    <t xml:space="preserve">Sainsbury's White Cabbage Each</t>
  </si>
  <si>
    <t xml:space="preserve">89p/ea</t>
  </si>
  <si>
    <t xml:space="preserve">https://www.sainsburys.co.uk/gol-ui/SearchResults/white%20cabbage</t>
  </si>
  <si>
    <t xml:space="preserve">Tesco White Cabbage Each</t>
  </si>
  <si>
    <t xml:space="preserve">https://www.tesco.com/shop/en-GB/products/294070748</t>
  </si>
  <si>
    <t xml:space="preserve">No typical weight or per-kg price shown (the 'per 80g' on the page is the nutrition portion not the item weight); pack_grams left blank.</t>
  </si>
  <si>
    <t xml:space="preserve">Morrisons Trimmed Leeks 500g</t>
  </si>
  <si>
    <t xml:space="preserve">£2.74/kg</t>
  </si>
  <si>
    <t xml:space="preserve">https://groceries.morrisons.com/search?q=leeks</t>
  </si>
  <si>
    <t xml:space="preserve">Sainsbury's Leeks 500g</t>
  </si>
  <si>
    <t xml:space="preserve">https://www.sainsburys.co.uk/gol-ui/SearchResults/leeks</t>
  </si>
  <si>
    <t xml:space="preserve">Tesco Leeks 500G</t>
  </si>
  <si>
    <t xml:space="preserve">https://www.tesco.com/groceries/en-GB/search?query=leeks</t>
  </si>
  <si>
    <t xml:space="preserve">Aldi Price Match; loose leeks also £2.74/kg</t>
  </si>
  <si>
    <t xml:space="preserve">Morrisons celery sticks 250g (from the shop's celery listing)</t>
  </si>
  <si>
    <t xml:space="preserve">£3.60/kg</t>
  </si>
  <si>
    <t xml:space="preserve">https://groceries.morrisons.com/search?q=celery</t>
  </si>
  <si>
    <t xml:space="preserve">Whole heads are sold each with no weight; celery sticks used instead</t>
  </si>
  <si>
    <t xml:space="preserve">Sainsbury's celery sticks 250g (from the shop's celery listing)</t>
  </si>
  <si>
    <t xml:space="preserve">https://www.sainsburys.co.uk/gol-ui/SearchResults/celery</t>
  </si>
  <si>
    <t xml:space="preserve">Tesco celery sticks 250g (from the shop's celery listing)</t>
  </si>
  <si>
    <t xml:space="preserve">https://www.tesco.com/groceries/en-GB/search?query=celery</t>
  </si>
  <si>
    <t xml:space="preserve">Morrisons Wholefoods Red Split Lentils 500g</t>
  </si>
  <si>
    <t xml:space="preserve">https://groceries.morrisons.com/search?q=red%20split%20lentils</t>
  </si>
  <si>
    <t xml:space="preserve">Sainsbury's Dried Red Lentils 500g</t>
  </si>
  <si>
    <t xml:space="preserve">https://www.sainsburys.co.uk/gol-ui/SearchResults/red%20split%20lentils</t>
  </si>
  <si>
    <t xml:space="preserve">Sainsbury's Red Lentils 1kg £2.60</t>
  </si>
  <si>
    <t xml:space="preserve">Tesco Red Split Lentils 500G</t>
  </si>
  <si>
    <t xml:space="preserve">https://www.tesco.com/groceries/en-GB/search?query=red%20split%20lentils</t>
  </si>
  <si>
    <t xml:space="preserve">1Kg £2.60</t>
  </si>
  <si>
    <t xml:space="preserve">Morrisons Red Kidney Beans (400g)</t>
  </si>
  <si>
    <t xml:space="preserve">400g (drained 240g) (net 400 g, drained 240 g)</t>
  </si>
  <si>
    <t xml:space="preserve">240</t>
  </si>
  <si>
    <t xml:space="preserve">£1.54/kg</t>
  </si>
  <si>
    <t xml:space="preserve">https://groceries.morrisons.com/products/morrisons-red-kidney-beans-400g/105408168</t>
  </si>
  <si>
    <t xml:space="preserve">Priced per kg of drained weight. Drained weight from search listing; product page not opened. Listing name does not say "in water". 0.37/0.240 = 1.54 matches.</t>
  </si>
  <si>
    <t xml:space="preserve">Sainsbury's Red Kidney Beans in Water 400g (240g*)</t>
  </si>
  <si>
    <t xml:space="preserve">400g (240g*) (net 400 g, drained 240 g)</t>
  </si>
  <si>
    <t xml:space="preserve">£1.62/kg</t>
  </si>
  <si>
    <t xml:space="preserve">https://www.sainsburys.co.uk/gol-ui/SearchResults/red%20kidney%20beans%20in%20water%20400g</t>
  </si>
  <si>
    <t xml:space="preserve">Priced per kg of drained weight. Drained weight from bracket in search listing name; no product page URL available. Aldi price match label. 0.39/0.240 = 1.62 matches. A 215g (130g*) tin also exists; not used.</t>
  </si>
  <si>
    <t xml:space="preserve">Tesco Red Kidney Beans In Water 400G</t>
  </si>
  <si>
    <t xml:space="preserve">£1.62/kg DR.WT</t>
  </si>
  <si>
    <t xml:space="preserve">https://www.tesco.com/shop/en-GB/products/259061829</t>
  </si>
  <si>
    <t xml:space="preserve">Priced per kg of drained weight. Drained weight read on product page. 0.39/0.240 = 1.62 matches.</t>
  </si>
  <si>
    <t xml:space="preserve">Morrisons Chickpeas In Water (400g)</t>
  </si>
  <si>
    <t xml:space="preserve">https://groceries.morrisons.com/products/morrisons-chickpeas-in-water-400g/110434045</t>
  </si>
  <si>
    <t xml:space="preserve">Priced per kg of drained weight. Drained weight from search listing; product page not opened. Unbeatable Price label; no was price shown. 0.37/0.240 = 1.54 matches.</t>
  </si>
  <si>
    <t xml:space="preserve">Sainsbury's Chickpeas in Water 400g (240g*)</t>
  </si>
  <si>
    <t xml:space="preserve">£1.71/kg</t>
  </si>
  <si>
    <t xml:space="preserve">https://www.sainsburys.co.uk/gol-ui/SearchResults/chickpeas%20in%20water%20400g</t>
  </si>
  <si>
    <t xml:space="preserve">Priced per kg of drained weight. Drained weight from bracket in search listing name; no product page URL available. 0.41/0.240 = 1.71 matches.</t>
  </si>
  <si>
    <t xml:space="preserve">Tesco Chickpeas In Water 400G</t>
  </si>
  <si>
    <t xml:space="preserve">£1.71/kg DR.WT</t>
  </si>
  <si>
    <t xml:space="preserve">https://www.tesco.com/shop/en-GB/products/262490576</t>
  </si>
  <si>
    <t xml:space="preserve">Priced per kg of drained weight. Drained weight read on product page. Aldi Price Match label. 0.41/0.240 = 1.71 matches.</t>
  </si>
  <si>
    <t xml:space="preserve">Morrisons Fresh Basil 30g</t>
  </si>
  <si>
    <t xml:space="preserve">30g</t>
  </si>
  <si>
    <t xml:space="preserve">30</t>
  </si>
  <si>
    <t xml:space="preserve">£23.33/kg</t>
  </si>
  <si>
    <t xml:space="preserve">https://groceries.morrisons.com/search?q=fresh%20basil</t>
  </si>
  <si>
    <t xml:space="preserve">Sainsbury's Fresh Packed Basil 30g</t>
  </si>
  <si>
    <t xml:space="preserve">£16.67/kg</t>
  </si>
  <si>
    <t xml:space="preserve">https://www.sainsburys.co.uk/gol-ui/SearchResults/fresh%20basil</t>
  </si>
  <si>
    <t xml:space="preserve">Tesco Fresh Cut Basil 30G</t>
  </si>
  <si>
    <t xml:space="preserve">30G</t>
  </si>
  <si>
    <t xml:space="preserve">https://www.tesco.com/groceries/en-GB/search?query=fresh%20basil</t>
  </si>
  <si>
    <t xml:space="preserve">Morrisons Garam Masala Curry Powder 38g</t>
  </si>
  <si>
    <t xml:space="preserve">38g</t>
  </si>
  <si>
    <t xml:space="preserve">38</t>
  </si>
  <si>
    <t xml:space="preserve">£28.68/kg</t>
  </si>
  <si>
    <t xml:space="preserve">https://groceries.morrisons.com/search?q=garam%20masala</t>
  </si>
  <si>
    <t xml:space="preserve">Sainsbury's Garam Masala 38g</t>
  </si>
  <si>
    <t xml:space="preserve">£30.26/kg</t>
  </si>
  <si>
    <t xml:space="preserve">https://www.sainsburys.co.uk/gol-ui/SearchResults/sainsburys%20garam%20masala</t>
  </si>
  <si>
    <t xml:space="preserve">Tile shows 95p (£25.00/kg) Nectar price then £1.15; regular £1.15 recorded</t>
  </si>
  <si>
    <t xml:space="preserve">Tesco Garam Masala Spice Blend 38G</t>
  </si>
  <si>
    <t xml:space="preserve">38G</t>
  </si>
  <si>
    <t xml:space="preserve">£26.32/kg</t>
  </si>
  <si>
    <t xml:space="preserve">https://www.tesco.com/groceries/en-GB/search?query=garam%20masala</t>
  </si>
  <si>
    <t xml:space="preserve">Indus Garlic Powder 100g</t>
  </si>
  <si>
    <t xml:space="preserve">Ordinarily £12.50/kg</t>
  </si>
  <si>
    <t xml:space="preserve">https://groceries.morrisons.com/products/indus-garlic-powder-100g/115710184</t>
  </si>
  <si>
    <t xml:space="preserve">branded; no Morrisons own-brand garlic powder (own-brand Garlic Granules 55g £1.09). On offer: now £1.00, 'Save 20%, was £1.25'</t>
  </si>
  <si>
    <t xml:space="preserve">Natco Garlic Powder 100g</t>
  </si>
  <si>
    <t xml:space="preserve">£13.00/kg</t>
  </si>
  <si>
    <t xml:space="preserve">https://www.sainsburys.co.uk/gol-ui/SearchResults/garlic%20powder</t>
  </si>
  <si>
    <t xml:space="preserve">branded; no Sainsbury's own-brand garlic powder (own-brand Garlic Granules 58g is £1.15 regular / 95p Nectar)</t>
  </si>
  <si>
    <t xml:space="preserve">Tesco Garlic Powder 45G</t>
  </si>
  <si>
    <t xml:space="preserve">45G</t>
  </si>
  <si>
    <t xml:space="preserve">45</t>
  </si>
  <si>
    <t xml:space="preserve">£22.22/kg</t>
  </si>
  <si>
    <t xml:space="preserve">https://www.tesco.com/groceries/en-GB/search?query=garlic%20powder</t>
  </si>
  <si>
    <t xml:space="preserve">Morrisons Ground Ginger 32g</t>
  </si>
  <si>
    <t xml:space="preserve">32g</t>
  </si>
  <si>
    <t xml:space="preserve">32</t>
  </si>
  <si>
    <t xml:space="preserve">£34.06/kg</t>
  </si>
  <si>
    <t xml:space="preserve">https://groceries.morrisons.com/search?q=ground%20ginger</t>
  </si>
  <si>
    <t xml:space="preserve">multibuy Buy 3 for £3; Morrisons Ground Ginger 38g £1.00 (£26.32/kg) also listed</t>
  </si>
  <si>
    <t xml:space="preserve">Sainsbury's Ground Ginger 38g</t>
  </si>
  <si>
    <t xml:space="preserve">£30.26 / kg</t>
  </si>
  <si>
    <t xml:space="preserve">https://www.sainsburys.co.uk/gol-ui/SearchResults/sainsburys%20ground%20ginger</t>
  </si>
  <si>
    <t xml:space="preserve">Nectar price 95p ignored</t>
  </si>
  <si>
    <t xml:space="preserve">Tesco Ground Ginger 38G</t>
  </si>
  <si>
    <t xml:space="preserve">https://www.tesco.com/groceries/en-GB/search?query=ground%20ginger</t>
  </si>
  <si>
    <t xml:space="preserve">Morrisons Fresh Mint 30g</t>
  </si>
  <si>
    <t xml:space="preserve">£20.00/kg</t>
  </si>
  <si>
    <t xml:space="preserve">https://groceries.morrisons.com/search?q=fresh%20mint</t>
  </si>
  <si>
    <t xml:space="preserve">Sainsbury's Fresh Packed Mint 30g</t>
  </si>
  <si>
    <t xml:space="preserve">https://www.sainsburys.co.uk/gol-ui/SearchResults/fresh%20mint</t>
  </si>
  <si>
    <t xml:space="preserve">Tesco Fresh Cut Mint 30G</t>
  </si>
  <si>
    <t xml:space="preserve">https://www.tesco.com/groceries/en-GB/search?query=fresh%20mint</t>
  </si>
  <si>
    <t xml:space="preserve">Aldi Price Match label</t>
  </si>
  <si>
    <t xml:space="preserve">Morrisons Fresh Flat Leaf Parsley 30g</t>
  </si>
  <si>
    <t xml:space="preserve">https://groceries.morrisons.com/search?q=fresh%20parsley</t>
  </si>
  <si>
    <t xml:space="preserve">Morrisons Fresh Curly Parsley 30g also £0.60</t>
  </si>
  <si>
    <t xml:space="preserve">Sainsbury's Fresh Packed Flat Leaf Parsley 30g</t>
  </si>
  <si>
    <t xml:space="preserve">https://www.sainsburys.co.uk/gol-ui/SearchResults/fresh%20parsley</t>
  </si>
  <si>
    <t xml:space="preserve">Aldi price match; curly parsley 30g is 55p</t>
  </si>
  <si>
    <t xml:space="preserve">Tesco Fresh Cut Flat Leaf Parsley 30G</t>
  </si>
  <si>
    <t xml:space="preserve">https://www.tesco.com/groceries/en-GB/search?query=fresh%20parsley</t>
  </si>
  <si>
    <t xml:space="preserve">Tesco Curled Leaf Parsley 30g also £0.50</t>
  </si>
  <si>
    <t xml:space="preserve">Morrisons Ground Turmeric 45g</t>
  </si>
  <si>
    <t xml:space="preserve">45g</t>
  </si>
  <si>
    <t xml:space="preserve">£24.22/kg</t>
  </si>
  <si>
    <t xml:space="preserve">https://groceries.morrisons.com/search?q=ground%20turmeric</t>
  </si>
  <si>
    <t xml:space="preserve">Multibuy Buy 3 for £3 ignored</t>
  </si>
  <si>
    <t xml:space="preserve">Sainsbury's Turmeric 48g</t>
  </si>
  <si>
    <t xml:space="preserve">48g</t>
  </si>
  <si>
    <t xml:space="preserve">48</t>
  </si>
  <si>
    <t xml:space="preserve">£23.96/kg</t>
  </si>
  <si>
    <t xml:space="preserve">https://www.sainsburys.co.uk/gol-ui/SearchResults/sainsburys%20turmeric</t>
  </si>
  <si>
    <t xml:space="preserve">Tile shows 95p (£19.79/kg) Nectar price then £1.15; regular £1.15 recorded</t>
  </si>
  <si>
    <t xml:space="preserve">Tesco Ground Turmeric 45G</t>
  </si>
  <si>
    <t xml:space="preserve">https://www.tesco.com/groceries/en-GB/search?query=ground%20turmeric</t>
  </si>
  <si>
    <t xml:space="preserve">Morrisons Mild Chilli Powder</t>
  </si>
  <si>
    <t xml:space="preserve">https://groceries.morrisons.com/search?q=chilli%20powder</t>
  </si>
  <si>
    <t xml:space="preserve">Multibuy 'Buy 3 for £3' ignored</t>
  </si>
  <si>
    <t xml:space="preserve">Sainsbury's Mild Chilli Powder 44g</t>
  </si>
  <si>
    <t xml:space="preserve">44g</t>
  </si>
  <si>
    <t xml:space="preserve">44</t>
  </si>
  <si>
    <t xml:space="preserve">£26.14/kg</t>
  </si>
  <si>
    <t xml:space="preserve">https://www.sainsburys.co.uk/gol-ui/SearchResults/chilli%20powder</t>
  </si>
  <si>
    <t xml:space="preserve">Shown at 95p (£21.59/kg) with was £1.15; regular price recorded (95p likely Nectar price)</t>
  </si>
  <si>
    <t xml:space="preserve">Tesco Mild Chilli Powder 50g</t>
  </si>
  <si>
    <t xml:space="preserve">https://www.tesco.com/groceries/en-GB/search?query=chilli%20powder</t>
  </si>
  <si>
    <t xml:space="preserve">Tesco Hot Chilli Powder 50g same price</t>
  </si>
  <si>
    <t xml:space="preserve">Morrisons Ground Cinnamon 32g</t>
  </si>
  <si>
    <t xml:space="preserve">https://groceries.morrisons.com/search?q=ground%20cinnamon</t>
  </si>
  <si>
    <t xml:space="preserve">multibuy Buy 3 for £3; Morrisons Ground Cinnamon 37g £1.00 (£27.03/kg) also listed</t>
  </si>
  <si>
    <t xml:space="preserve">Sainsbury's Ground Cinnamon 38g</t>
  </si>
  <si>
    <t xml:space="preserve">https://www.sainsburys.co.uk/gol-ui/SearchResults/ground%20cinnamon</t>
  </si>
  <si>
    <t xml:space="preserve">Tesco Ground Cinnamon 36g</t>
  </si>
  <si>
    <t xml:space="preserve">36g</t>
  </si>
  <si>
    <t xml:space="preserve">36</t>
  </si>
  <si>
    <t xml:space="preserve">£27.78/kg</t>
  </si>
  <si>
    <t xml:space="preserve">https://www.tesco.com/groceries/en-GB/search?query=ground%20cinnamon</t>
  </si>
  <si>
    <t xml:space="preserve">Morrisons Medium Curry Powder</t>
  </si>
  <si>
    <t xml:space="preserve">90g</t>
  </si>
  <si>
    <t xml:space="preserve">90</t>
  </si>
  <si>
    <t xml:space="preserve">https://groceries.morrisons.com/search?q=curry%20powder</t>
  </si>
  <si>
    <t xml:space="preserve">Sainsbury's Medium Curry Powder, Inspired to Cook 80g</t>
  </si>
  <si>
    <t xml:space="preserve">80g</t>
  </si>
  <si>
    <t xml:space="preserve">£16.25/kg</t>
  </si>
  <si>
    <t xml:space="preserve">https://www.sainsburys.co.uk/gol-ui/SearchResults/curry%20powder</t>
  </si>
  <si>
    <t xml:space="preserve">Tesco Medium Curry Powder 80G</t>
  </si>
  <si>
    <t xml:space="preserve">£15.62/kg</t>
  </si>
  <si>
    <t xml:space="preserve">https://www.tesco.com/groceries/en-GB/search?query=curry%20powder</t>
  </si>
  <si>
    <t xml:space="preserve">Any 4 for 3 multibuy</t>
  </si>
  <si>
    <t xml:space="preserve">Morrisons Paprika</t>
  </si>
  <si>
    <t xml:space="preserve">https://groceries.morrisons.com/search?q=paprika</t>
  </si>
  <si>
    <t xml:space="preserve">Buy 3 for £3 multibuy</t>
  </si>
  <si>
    <t xml:space="preserve">Sainsbury's Paprika 44g</t>
  </si>
  <si>
    <t xml:space="preserve">https://www.sainsburys.co.uk/gol-ui/SearchResults/paprika</t>
  </si>
  <si>
    <t xml:space="preserve">DOUBTFUL: tile text reads '95p £21.59/kg £1.15 £26.14/kg'; summariser labelling of Nectar vs regular was inconsistent; recorded £1.15 as regular since a Nectar price cannot be the higher one (same 95p Nectar / £1.15 was pattern shown on Sainsbury's Celery Salt)</t>
  </si>
  <si>
    <t xml:space="preserve">Tesco Paprika 50g</t>
  </si>
  <si>
    <t xml:space="preserve">https://www.tesco.com/groceries/en-GB/search?query=paprika</t>
  </si>
  <si>
    <t xml:space="preserve">Clubcard 'Any 4 for 3' multibuy on cooking ingredients ignored</t>
  </si>
  <si>
    <t xml:space="preserve">Morrisons Ground Black Pepper 25g</t>
  </si>
  <si>
    <t xml:space="preserve">25g</t>
  </si>
  <si>
    <t xml:space="preserve">25</t>
  </si>
  <si>
    <t xml:space="preserve">£48.00/kg</t>
  </si>
  <si>
    <t xml:space="preserve">https://groceries.morrisons.com/search?q=black%20pepper</t>
  </si>
  <si>
    <t xml:space="preserve">Sainsbury's Ground Black Pepper 48g</t>
  </si>
  <si>
    <t xml:space="preserve">£32.29/kg</t>
  </si>
  <si>
    <t xml:space="preserve">https://www.sainsburys.co.uk/gol-ui/SearchResults/black%20pepper</t>
  </si>
  <si>
    <t xml:space="preserve">Nectar price £1.25 ignored</t>
  </si>
  <si>
    <t xml:space="preserve">Tesco Ground Black Pepper 25G</t>
  </si>
  <si>
    <t xml:space="preserve">25G</t>
  </si>
  <si>
    <t xml:space="preserve">https://www.tesco.com/groceries/en-GB/search?query=black%20pepper</t>
  </si>
  <si>
    <t xml:space="preserve">Morrisons Fresh Coriander</t>
  </si>
  <si>
    <t xml:space="preserve">https://groceries.morrisons.com/search?q=fresh%20coriander</t>
  </si>
  <si>
    <t xml:space="preserve">Sainsbury's Fresh Packed Bunch Coriander 30g</t>
  </si>
  <si>
    <t xml:space="preserve">£18.33/kg</t>
  </si>
  <si>
    <t xml:space="preserve">https://www.sainsburys.co.uk/gol-ui/SearchResults/fresh%20coriander</t>
  </si>
  <si>
    <t xml:space="preserve">Tesco Fresh Cut Coriander 30G</t>
  </si>
  <si>
    <t xml:space="preserve">https://www.tesco.com/groceries/en-GB/search?query=fresh%20coriander</t>
  </si>
  <si>
    <t xml:space="preserve">Morrisons Whole Cumin Seeds 37g</t>
  </si>
  <si>
    <t xml:space="preserve">37g</t>
  </si>
  <si>
    <t xml:space="preserve">37</t>
  </si>
  <si>
    <t xml:space="preserve">£29.46/kg</t>
  </si>
  <si>
    <t xml:space="preserve">https://groceries.morrisons.com/search?q=cumin%20seeds</t>
  </si>
  <si>
    <t xml:space="preserve">multibuy Buy 3 for £3</t>
  </si>
  <si>
    <t xml:space="preserve">Sainsbury's Cumin Seed 38g</t>
  </si>
  <si>
    <t xml:space="preserve">https://www.sainsburys.co.uk/gol-ui/SearchResults/cumin%20seed</t>
  </si>
  <si>
    <t xml:space="preserve">Nectar price 95p ignored (summariser mislabelled at first; confirmed 95p follows the Nectar price label)</t>
  </si>
  <si>
    <t xml:space="preserve">Tesco Whole Cumin Seeds 37G</t>
  </si>
  <si>
    <t xml:space="preserve">37G</t>
  </si>
  <si>
    <t xml:space="preserve">£27.03/kg</t>
  </si>
  <si>
    <t xml:space="preserve">https://www.tesco.com/groceries/en-GB/search?query=cumin%20seeds</t>
  </si>
  <si>
    <t xml:space="preserve">Morrisons Ginger 125g</t>
  </si>
  <si>
    <t xml:space="preserve">£12.40/kg</t>
  </si>
  <si>
    <t xml:space="preserve">https://groceries.morrisons.com/search?q=fresh%20ginger</t>
  </si>
  <si>
    <t xml:space="preserve">Sainsbury's Ginger 100g</t>
  </si>
  <si>
    <t xml:space="preserve">£12.50/kg</t>
  </si>
  <si>
    <t xml:space="preserve">https://www.sainsburys.co.uk/gol-ui/SearchResults/fresh%20ginger</t>
  </si>
  <si>
    <t xml:space="preserve">Sainsbury's Root Ginger Loose £5.60/kg</t>
  </si>
  <si>
    <t xml:space="preserve">Tesco Ginger 100g</t>
  </si>
  <si>
    <t xml:space="preserve">https://www.tesco.com/groceries/en-GB/search?query=tesco%20ginger%20100g</t>
  </si>
  <si>
    <t xml:space="preserve">fresh root ginger (fresh herbs/ginger aisle); Tesco Root Ginger Loose £5.60/kg</t>
  </si>
  <si>
    <t xml:space="preserve">Morrisons Lemon Juice 250ml</t>
  </si>
  <si>
    <t xml:space="preserve">250ml</t>
  </si>
  <si>
    <t xml:space="preserve">£3.20/litre</t>
  </si>
  <si>
    <t xml:space="preserve">https://groceries.morrisons.com/search?q=lemon%20juice</t>
  </si>
  <si>
    <t xml:space="preserve">Sainsbury's Lemon Juice 250ml</t>
  </si>
  <si>
    <t xml:space="preserve">£3.60/litre</t>
  </si>
  <si>
    <t xml:space="preserve">https://www.sainsburys.co.uk/gol-ui/SearchResults/bottled%20lemon%20juice</t>
  </si>
  <si>
    <t xml:space="preserve">'lemon juice' search failed to render twice (JS only); this from 'bottled lemon juice'</t>
  </si>
  <si>
    <t xml:space="preserve">Tesco Lemon Juice 500ml</t>
  </si>
  <si>
    <t xml:space="preserve">500ml</t>
  </si>
  <si>
    <t xml:space="preserve">https://www.tesco.com/groceries/en-GB/search?query=lemon%20juice</t>
  </si>
  <si>
    <t xml:space="preserve">bottled lemon juice; only Tesco own-brand size listed</t>
  </si>
  <si>
    <t xml:space="preserve">Morrisons Lime Juice 250ml</t>
  </si>
  <si>
    <t xml:space="preserve">£4.60/litre</t>
  </si>
  <si>
    <t xml:space="preserve">https://groceries.morrisons.com/search?q=lime%20juice</t>
  </si>
  <si>
    <t xml:space="preserve">Bottled lime juice</t>
  </si>
  <si>
    <t xml:space="preserve">Sainsbury's Lime Juice 250ml</t>
  </si>
  <si>
    <t xml:space="preserve">£5.00/ltr</t>
  </si>
  <si>
    <t xml:space="preserve">https://www.sainsburys.co.uk/gol-ui/SearchResults/lime%20juice</t>
  </si>
  <si>
    <t xml:space="preserve">Tesco Lime Juice 250ml</t>
  </si>
  <si>
    <t xml:space="preserve">£5.20/litre</t>
  </si>
  <si>
    <t xml:space="preserve">https://www.tesco.com/groceries/en-GB/search?query=lime%20juice</t>
  </si>
  <si>
    <t xml:space="preserve">Morrisons Loose Orange</t>
  </si>
  <si>
    <t xml:space="preserve">Individual orange</t>
  </si>
  <si>
    <t xml:space="preserve">35.0p/item</t>
  </si>
  <si>
    <t xml:space="preserve">price each / 131 g (USDA FDC 169097, 1 orange)</t>
  </si>
  <si>
    <t xml:space="preserve">https://groceries.morrisons.com/products/morrisons-loose-orange/108378785</t>
  </si>
  <si>
    <t xml:space="preserve">https://www.sainsburys.co.uk/gol-ui/SearchResults/oranges</t>
  </si>
  <si>
    <t xml:space="preserve">No single loose own-brand orange found. Only multipacks seen: Sainsbury's 4 x Large Oranges £2.00 (50p each) and Taste the Difference x4 (premium). A 30p 'Easy Peeler (each)' appeared only as a meal-deal item, not an orange. Blank.</t>
  </si>
  <si>
    <t xml:space="preserve">Tesco Oranges Each</t>
  </si>
  <si>
    <t xml:space="preserve">£0.35/each</t>
  </si>
  <si>
    <t xml:space="preserve">https://www.tesco.com/shop/en-GB/products/322450562</t>
  </si>
  <si>
    <t xml:space="preserve">Product page shows 'Count: 20' (appears to be a loose-stock count and not a weight) and no per-kg price or typical weight; pack_grams left blank.</t>
  </si>
  <si>
    <t xml:space="preserve">https://groceries.morrisons.com/search?q=mango</t>
  </si>
  <si>
    <t xml:space="preserve">No single whole mango listed. Only Morrisons Ripe &amp; Ready To Eat Mango 2 Pack £1.90 (95.0p/item) and Morrisons Mango 240g £2.50 (£10.42/kg; pack of 240g so not a single each). Blank.</t>
  </si>
  <si>
    <t xml:space="preserve">Sainsbury's Mango Single</t>
  </si>
  <si>
    <t xml:space="preserve">Single</t>
  </si>
  <si>
    <t xml:space="preserve">94p per item</t>
  </si>
  <si>
    <t xml:space="preserve">price each / 336 g (USDA FDC 169910, 1 mango without peel and stone)</t>
  </si>
  <si>
    <t xml:space="preserve">https://www.sainsburys.co.uk/gol-ui/SearchResults/mango</t>
  </si>
  <si>
    <t xml:space="preserve">No per-kg price or typical weight shown; pack_grams left blank. Sainsbury's Giant Mango is £1.20 (larger item, not used).</t>
  </si>
  <si>
    <t xml:space="preserve">Tesco Perfectly Ripe Mango</t>
  </si>
  <si>
    <t xml:space="preserve">1 (each)</t>
  </si>
  <si>
    <t xml:space="preserve">£0.94/each</t>
  </si>
  <si>
    <t xml:space="preserve">https://www.tesco.com/shop/en-GB/products/255805844</t>
  </si>
  <si>
    <t xml:space="preserve">Morrisons Ready To Eat Avocado</t>
  </si>
  <si>
    <t xml:space="preserve">Loose single</t>
  </si>
  <si>
    <t xml:space="preserve">£1.10/item</t>
  </si>
  <si>
    <t xml:space="preserve">price each / 136 g (USDA FDC 171706, 1 avocado without skin and stone)</t>
  </si>
  <si>
    <t xml:space="preserve">https://groceries.morrisons.com/products/morrisons-ready-to-eat-avocado/113038380</t>
  </si>
  <si>
    <t xml:space="preserve">Product page shows no weight or per-kg price; pack_grams left blank. Morrisons Large Ripened Avocado Single is 95p but the Ready To Eat single was taken as the standard.</t>
  </si>
  <si>
    <t xml:space="preserve">Sainsbury's Medium Avocado</t>
  </si>
  <si>
    <t xml:space="preserve">69p each</t>
  </si>
  <si>
    <t xml:space="preserve">https://www.sainsburys.co.uk/gol-ui/SearchResults/avocado</t>
  </si>
  <si>
    <t xml:space="preserve">Tesco Ripe &amp; Ready Avocado</t>
  </si>
  <si>
    <t xml:space="preserve">£0.69/each</t>
  </si>
  <si>
    <t xml:space="preserve">https://www.tesco.com/shop/en-GB/products/255903025</t>
  </si>
  <si>
    <t xml:space="preserve">Loose single avocado. Product page shows no per-kg price or typical weight; pack_grams left blank.</t>
  </si>
  <si>
    <t xml:space="preserve">Morrisons Raisins</t>
  </si>
  <si>
    <t xml:space="preserve">https://groceries.morrisons.com/search?q=raisins</t>
  </si>
  <si>
    <t xml:space="preserve">Sainsbury's Raisins, Seedless 500g</t>
  </si>
  <si>
    <t xml:space="preserve">https://www.sainsburys.co.uk/gol-ui/SearchResults/raisins</t>
  </si>
  <si>
    <t xml:space="preserve">Tesco Seedless Raisins 500G</t>
  </si>
  <si>
    <t xml:space="preserve">https://www.tesco.com/groceries/en-GB/search?query=raisins</t>
  </si>
  <si>
    <t xml:space="preserve">12x14g snack multipack excluded</t>
  </si>
  <si>
    <t xml:space="preserve">Morrisons Soft Pitted Dates</t>
  </si>
  <si>
    <t xml:space="preserve">£9.20/kg</t>
  </si>
  <si>
    <t xml:space="preserve">https://groceries.morrisons.com/search?q=dried%20dates</t>
  </si>
  <si>
    <t xml:space="preserve">Sainsbury's Ready To Eat Dates 200g</t>
  </si>
  <si>
    <t xml:space="preserve">£9.50/kg</t>
  </si>
  <si>
    <t xml:space="preserve">https://www.sainsburys.co.uk/gol-ui/SearchResults/dried%20dates</t>
  </si>
  <si>
    <t xml:space="preserve">Tesco Soft Pitted Dates 250G</t>
  </si>
  <si>
    <t xml:space="preserve">https://www.tesco.com/groceries/en-GB/search?query=dried%20dates</t>
  </si>
  <si>
    <t xml:space="preserve">Morrisons Cashews 180g</t>
  </si>
  <si>
    <t xml:space="preserve">180g</t>
  </si>
  <si>
    <t xml:space="preserve">£13.78/kg</t>
  </si>
  <si>
    <t xml:space="preserve">https://groceries.morrisons.com/search?q=cashew%20nuts</t>
  </si>
  <si>
    <t xml:space="preserve">assumed plain (name has no salt/flavour); Morrisons Cashew Nuts 250g £4.00 (£16.00/kg)</t>
  </si>
  <si>
    <t xml:space="preserve">Sainsbury's Cashew Pieces 200g</t>
  </si>
  <si>
    <t xml:space="preserve">https://www.sainsburys.co.uk/gol-ui/SearchResults/cashew%20nuts</t>
  </si>
  <si>
    <t xml:space="preserve">DOUBTFUL: pieces not whole, assumed plain (name has no salt/flavour); no standard plain whole own-brand found; Sainsbury's Fairtrade Cashew Nuts 100g £2.90 (£29.00/kg) is the whole plain alternative</t>
  </si>
  <si>
    <t xml:space="preserve">Tesco Cashew Nuts 200G</t>
  </si>
  <si>
    <t xml:space="preserve">https://www.tesco.com/groceries/en-GB/search?query=cashew%20nuts</t>
  </si>
  <si>
    <t xml:space="preserve">plain; Tesco Cashew Nuts Snack Pack 60G not used (mini)</t>
  </si>
  <si>
    <t xml:space="preserve">Morrisons Quinoa 300g</t>
  </si>
  <si>
    <t xml:space="preserve">£10.33/kg</t>
  </si>
  <si>
    <t xml:space="preserve">https://groceries.morrisons.com/search?q=quinoa</t>
  </si>
  <si>
    <t xml:space="preserve">Sainsbury's Quinoa 300g</t>
  </si>
  <si>
    <t xml:space="preserve">https://www.sainsburys.co.uk/gol-ui/SearchResults/quinoa</t>
  </si>
  <si>
    <t xml:space="preserve">Tesco Quinoa 300G</t>
  </si>
  <si>
    <t xml:space="preserve">https://www.tesco.com/groceries/en-GB/search?query=quinoa</t>
  </si>
  <si>
    <t xml:space="preserve">Morrisons Sesame Seeds 100g</t>
  </si>
  <si>
    <t xml:space="preserve">£12.00/kg</t>
  </si>
  <si>
    <t xml:space="preserve">https://groceries.morrisons.com/search?q=sesame%20seeds</t>
  </si>
  <si>
    <t xml:space="preserve">Sainsbury's Sesame Seeds 50g</t>
  </si>
  <si>
    <t xml:space="preserve">£23.00/kg</t>
  </si>
  <si>
    <t xml:space="preserve">https://www.sainsburys.co.uk/gol-ui/SearchResults/sesame%20seeds</t>
  </si>
  <si>
    <t xml:space="preserve">Nectar price 95p ignored. Sainsbury's Sesame Seeds 100g also listed at £1.20 (£12.00/kg)</t>
  </si>
  <si>
    <t xml:space="preserve">Tesco Sesame Seeds 100G</t>
  </si>
  <si>
    <t xml:space="preserve">https://www.tesco.com/groceries/en-GB/search?query=sesame%20seeds</t>
  </si>
  <si>
    <t xml:space="preserve">Morrisons Ground Almonds 150g</t>
  </si>
  <si>
    <t xml:space="preserve">£17.00/kg</t>
  </si>
  <si>
    <t xml:space="preserve">https://groceries.morrisons.com/search?q=ground%20almonds</t>
  </si>
  <si>
    <t xml:space="preserve">Sainsbury's Ground Almonds 200g</t>
  </si>
  <si>
    <t xml:space="preserve">https://www.sainsburys.co.uk/gol-ui/SearchResults/ground%20almonds</t>
  </si>
  <si>
    <t xml:space="preserve">Tesco Ground Almonds 250G</t>
  </si>
  <si>
    <t xml:space="preserve">https://www.tesco.com/groceries/en-GB/search?query=ground%20almonds</t>
  </si>
  <si>
    <t xml:space="preserve">https://groceries.morrisons.com/search?q=desiccated%20coconut</t>
  </si>
  <si>
    <t xml:space="preserve">Page returned HTTP 403 on 2 attempts</t>
  </si>
  <si>
    <t xml:space="preserve">Sainsbury's Desiccated Coconut 250g</t>
  </si>
  <si>
    <t xml:space="preserve">£10.80 / kg</t>
  </si>
  <si>
    <t xml:space="preserve">https://www.sainsburys.co.uk/gol-ui/SearchResults/desiccated%20coconut</t>
  </si>
  <si>
    <t xml:space="preserve">Tesco Desiccated Coconut 200G</t>
  </si>
  <si>
    <t xml:space="preserve">£10.50/kg</t>
  </si>
  <si>
    <t xml:space="preserve">https://www.tesco.com/groceries/en-GB/search?query=desiccated%20coconut</t>
  </si>
  <si>
    <t xml:space="preserve">Morrisons Redskin Peanuts 200g</t>
  </si>
  <si>
    <t xml:space="preserve">£5.00/kg</t>
  </si>
  <si>
    <t xml:space="preserve">https://groceries.morrisons.com/search?q=unsalted%20peanuts</t>
  </si>
  <si>
    <t xml:space="preserve">redskin peanuts (plain); Buy 2 for £1.50 multibuy</t>
  </si>
  <si>
    <t xml:space="preserve">Sainsbury's Fairtrade Peanuts 100g</t>
  </si>
  <si>
    <t xml:space="preserve">£11.50/kg</t>
  </si>
  <si>
    <t xml:space="preserve">https://www.sainsburys.co.uk/gol-ui/SearchResults/plain%20peanuts</t>
  </si>
  <si>
    <t xml:space="preserve">DOUBTFUL: assumed plain unsalted (name has no salt/flavour), page did not state; KP Roasted Peanuts Unsalted 250g branded alternative (page showed £2.75 and £3.25, regular vs Nectar unclear)</t>
  </si>
  <si>
    <t xml:space="preserve">Tesco Jumbo Peanuts 300G</t>
  </si>
  <si>
    <t xml:space="preserve">https://www.tesco.com/groceries/en-GB/search?query=plain%20peanuts</t>
  </si>
  <si>
    <t xml:space="preserve">DOUBTFUL: listed as plain under dried fruit/nuts (Any 4 for 3 multibuy) but page did not state unsalted; no Tesco unsalted kernel peanut otherwise (KP Unsalted Peanuts 250G £3.25 branded)</t>
  </si>
  <si>
    <t xml:space="preserve">Morrisons Walnut Pieces 150g</t>
  </si>
  <si>
    <t xml:space="preserve">https://groceries.morrisons.com/search?q=walnuts</t>
  </si>
  <si>
    <t xml:space="preserve">smallest normal pack; also listed Morrisons Walnuts 180g £2.48 (£13.78/kg) and Morrisons Walnuts 50g £1.15 (£23.00/kg, treated as mini)</t>
  </si>
  <si>
    <t xml:space="preserve">Sainsbury's Walnuts, Halves 100g</t>
  </si>
  <si>
    <t xml:space="preserve">£19.00/kg</t>
  </si>
  <si>
    <t xml:space="preserve">https://www.sainsburys.co.uk/gol-ui/SearchResults/walnuts</t>
  </si>
  <si>
    <t xml:space="preserve">smallest pack; Sainsbury's Walnuts, Pieces 200g is £2.35 (£11.75/kg)</t>
  </si>
  <si>
    <t xml:space="preserve">Tesco Walnuts 200G</t>
  </si>
  <si>
    <t xml:space="preserve">https://www.tesco.com/groceries/en-GB/search?query=walnuts</t>
  </si>
  <si>
    <t xml:space="preserve">Clubcard Price £1.90 ignored</t>
  </si>
  <si>
    <t xml:space="preserve">Morrisons Canned Coconut Milk 400ml</t>
  </si>
  <si>
    <t xml:space="preserve">400ml</t>
  </si>
  <si>
    <t xml:space="preserve">https://groceries.morrisons.com/search?q=coconut%20milk</t>
  </si>
  <si>
    <t xml:space="preserve">Sainsbury's Coconut Milk 400ml</t>
  </si>
  <si>
    <t xml:space="preserve">£1.88/litre</t>
  </si>
  <si>
    <t xml:space="preserve">https://www.sainsburys.co.uk/gol-ui/SearchResults/coconut%20milk</t>
  </si>
  <si>
    <t xml:space="preserve">Tesco Coconut Milk 400ml</t>
  </si>
  <si>
    <t xml:space="preserve">https://www.tesco.com/groceries/en-GB/search?query=coconut%20milk</t>
  </si>
  <si>
    <t xml:space="preserve">Morrisons Almonds</t>
  </si>
  <si>
    <t xml:space="preserve">£13.75/kg</t>
  </si>
  <si>
    <t xml:space="preserve">https://groceries.morrisons.com/products/morrisons-almonds/105410196</t>
  </si>
  <si>
    <t xml:space="preserve">DOUBTFUL: a second 'Morrisons Almonds' 200g listing (new, /112703907) shows £2.33 (£11.65/kg, Buy 2 for £4); 60g snack pack £1.15 excluded; page does not say skin-on/raw</t>
  </si>
  <si>
    <t xml:space="preserve">Sainsbury's Whole Almonds 100g</t>
  </si>
  <si>
    <t xml:space="preserve">£13.50/kg</t>
  </si>
  <si>
    <t xml:space="preserve">https://www.sainsburys.co.uk/gol-ui/SearchResults/whole%20almonds</t>
  </si>
  <si>
    <t xml:space="preserve">Tesco Almonds 200G</t>
  </si>
  <si>
    <t xml:space="preserve">https://www.tesco.com/groceries/en-GB/search?query=almonds</t>
  </si>
  <si>
    <t xml:space="preserve">Clubcard £1.90 ignored</t>
  </si>
  <si>
    <t xml:space="preserve">Morrisons Market Street Mackerel Fillets 180g</t>
  </si>
  <si>
    <t xml:space="preserve">https://groceries.morrisons.com/search?q=mackerel%20fillets</t>
  </si>
  <si>
    <t xml:space="preserve">multibuy Buy 3 for £10</t>
  </si>
  <si>
    <t xml:space="preserve">Sainsbury's 2 British Mackerel Fillets 180g</t>
  </si>
  <si>
    <t xml:space="preserve">£21.94/kg</t>
  </si>
  <si>
    <t xml:space="preserve">https://www.sainsburys.co.uk/gol-ui/SearchResults/mackerel%20fillets</t>
  </si>
  <si>
    <t xml:space="preserve">Tesco 2 Boneless Mackerel Fillets 160G</t>
  </si>
  <si>
    <t xml:space="preserve">160G</t>
  </si>
  <si>
    <t xml:space="preserve">£24.69/kg</t>
  </si>
  <si>
    <t xml:space="preserve">https://www.tesco.com/groceries/en-GB/search?query=mackerel%20fillets</t>
  </si>
  <si>
    <t xml:space="preserve">Cornish Sardines</t>
  </si>
  <si>
    <t xml:space="preserve">0.1kg</t>
  </si>
  <si>
    <t xml:space="preserve">£5.50/kg</t>
  </si>
  <si>
    <t xml:space="preserve">https://groceries.morrisons.com/search?q=fresh%20sardines</t>
  </si>
  <si>
    <t xml:space="preserve">Doubtful: listed under Fresh Whole Fish at £0.55 for 0.1kg (looks like per-100g loose or counter pricing rather than a fixed pack). Use £5.50/kg.</t>
  </si>
  <si>
    <t xml:space="preserve">Sound Seafood MSC Cornish Whole Sardines (Approx. 360g)</t>
  </si>
  <si>
    <t xml:space="preserve">(Approx. 360g)</t>
  </si>
  <si>
    <t xml:space="preserve">£9.79 / kg</t>
  </si>
  <si>
    <t xml:space="preserve">shop's own price per kg</t>
  </si>
  <si>
    <t xml:space="preserve">https://www.sainsburys.co.uk/gol-ui/SearchResults/fresh%20sardines</t>
  </si>
  <si>
    <t xml:space="preserve">Doubtful: £3.75 / 360g = £10.42/kg but shop shows £9.79/kg because the weight is approximate (implies about 383g). pack_grams left blank; use shop unit price £9.79/kg. Branded fish supplier pack; no own-brand fresh sardines seen.</t>
  </si>
  <si>
    <t xml:space="preserve">NOT CHECKED: WebFetch session limit reached before lookup (resets 15:00 Europe/London)</t>
  </si>
  <si>
    <t xml:space="preserve">Morrisons Tuna Chunks In Brine 145g</t>
  </si>
  <si>
    <t xml:space="preserve">145g (drained 102g) (net 145 g, drained 102 g)</t>
  </si>
  <si>
    <t xml:space="preserve">102</t>
  </si>
  <si>
    <t xml:space="preserve">£7.84/kg</t>
  </si>
  <si>
    <t xml:space="preserve">https://groceries.morrisons.com/products/morrisons-tuna-chunks-in-brine-145g/110557133</t>
  </si>
  <si>
    <t xml:space="preserve">Priced per kg of drained weight. Drained weight from search listing; product page not opened. 0.80/0.102 = 7.84 matches.</t>
  </si>
  <si>
    <t xml:space="preserve"> (net  g, drained ? g)</t>
  </si>
  <si>
    <t xml:space="preserve">https://www.sainsburys.co.uk/gol-ui/SearchResults/tuna%20chunks%20in%20brine</t>
  </si>
  <si>
    <t xml:space="preserve">Priced per kg of drained weight. No single-tin Sainsbury's own-brand tuna chunks in brine found. Only multipacks listed: 4x145g £2.49 and 3x80g (3x56g drained) £2.20. Left blank.</t>
  </si>
  <si>
    <t xml:space="preserve">Tesco Tuna Chunks In Brine 145G</t>
  </si>
  <si>
    <t xml:space="preserve">£6.37/kg</t>
  </si>
  <si>
    <t xml:space="preserve">https://www.tesco.com/shop/en-GB/products/303887523</t>
  </si>
  <si>
    <t xml:space="preserve">Priced per kg of drained weight. Drained weight read on product page. 0.65/0.102 = 6.37 matches.</t>
  </si>
  <si>
    <t xml:space="preserve">Morrisons Tuna Chunks In Sunflower Oil 145g</t>
  </si>
  <si>
    <t xml:space="preserve">https://groceries.morrisons.com/products/morrisons-tuna-chunks-in-sunflower-oil-145g/110474442</t>
  </si>
  <si>
    <t xml:space="preserve">Sainsbury's Tuna Chunks in Sunflower Oil 145g</t>
  </si>
  <si>
    <t xml:space="preserve">145g (net 145 g, drained ? g)</t>
  </si>
  <si>
    <t xml:space="preserve">£4.48/kg</t>
  </si>
  <si>
    <t xml:space="preserve">no drained weight shown, not used</t>
  </si>
  <si>
    <t xml:space="preserve">https://www.sainsburys.co.uk/gol-ui/SearchResults/sainsburys%20tuna%20chunks%20in%20sunflower%20oil%20145g</t>
  </si>
  <si>
    <t xml:space="preserve">Priced per kg of drained weight. No drained weight shown in listing name (checked twice); no product page URL available. Unit price is per net kg: 0.65/0.145 = 4.48. Drained left blank.</t>
  </si>
  <si>
    <t xml:space="preserve">Tesco Tuna Chunks In Sunflower Oil 145G</t>
  </si>
  <si>
    <t xml:space="preserve">https://www.tesco.com/shop/en-GB/products/303882199</t>
  </si>
  <si>
    <t xml:space="preserve">Morrisons Sardines In Brine 120g</t>
  </si>
  <si>
    <t xml:space="preserve">120g (drained 90g) (net 120 g, drained 90 g)</t>
  </si>
  <si>
    <t xml:space="preserve">https://groceries.morrisons.com/products/morrisons-sardines-in-brine-120g/105409646</t>
  </si>
  <si>
    <t xml:space="preserve">Priced per kg of drained weight. Drained weight from search listing; product page not opened. 0.60/0.090 = 6.67 matches.</t>
  </si>
  <si>
    <t xml:space="preserve">Alva Sardines in Brine 120g</t>
  </si>
  <si>
    <t xml:space="preserve">120g (net 120 g, drained 85 g)</t>
  </si>
  <si>
    <t xml:space="preserve">85</t>
  </si>
  <si>
    <t xml:space="preserve">https://www.sainsburys.co.uk/gol-ui/SearchResults/sardines%20brine</t>
  </si>
  <si>
    <t xml:space="preserve">Priced per kg of drained weight. branded. No Sainsbury's own-brand sardines in brine; Alva was the only brine sardine tin in results. Drained 85g is from the Tesco page for the same Alva product (not shown on Sainsbury's page); it fits 0.85/0.085 = 10.00.</t>
  </si>
  <si>
    <t xml:space="preserve">120g (drained 85g) (net 120 g, drained 85 g)</t>
  </si>
  <si>
    <t xml:space="preserve">£6.25/kg DR.WT</t>
  </si>
  <si>
    <t xml:space="preserve">https://www.tesco.com/shop/en-GB/products/322655723</t>
  </si>
  <si>
    <t xml:space="preserve">Priced per kg of drained weight. branded. No Tesco-named sardines in brine exist (Tesco sardines are in sunflower oil or sauces). Product page says currently out of stock (search page showed it in stock). DOUBTFUL: label says DR.WT but 0.75/0.120 = 6.25 so the figure is per net kg; 0.75/0.085 would be 8.82. | 85 g drained is supported by Sainsbury's, which sells the same Alva tin with a drained-weight unit price of £10.00/kg (0.85/0.085); Tesco's 'DR.WT' label fits the net weight instead.</t>
  </si>
  <si>
    <t xml:space="preserve">Morrisons Extra Virgin Coconut Oil 300ml</t>
  </si>
  <si>
    <t xml:space="preserve">276</t>
  </si>
  <si>
    <t xml:space="preserve">£12.67/litre</t>
  </si>
  <si>
    <t xml:space="preserve">https://groceries.morrisons.com/search?q=coconut%20oil</t>
  </si>
  <si>
    <t xml:space="preserve">KTC Coconut Oil 500ml</t>
  </si>
  <si>
    <t xml:space="preserve">460</t>
  </si>
  <si>
    <t xml:space="preserve">£7.00/ltr</t>
  </si>
  <si>
    <t xml:space="preserve">https://www.sainsburys.co.uk/gol-ui/SearchResults/coconut%20oil</t>
  </si>
  <si>
    <t xml:space="preserve">branded: no Sainsbury's own-brand coconut oil listed. Nectar price £3.00 ignored</t>
  </si>
  <si>
    <t xml:space="preserve">Niru Merchant Organic Coconut Oil 280ml</t>
  </si>
  <si>
    <t xml:space="preserve">280ml</t>
  </si>
  <si>
    <t xml:space="preserve">257.6</t>
  </si>
  <si>
    <t xml:space="preserve">£14.29/litre</t>
  </si>
  <si>
    <t xml:space="preserve">https://www.tesco.com/groceries/en-GB/search?query=coconut%20oil</t>
  </si>
  <si>
    <t xml:space="preserve">DOUBTFUL. branded: only Tesco own-brand is Tesco Organic Virgin Coconut Oil 300ml £3.85 (excluded as organic). Niru is cheapest branded but also organic; non-organic Groovy Virgin Coconut Oil 283ml is £5.25</t>
  </si>
  <si>
    <t xml:space="preserve">Crisp 'n' Dry Rapeseed Oil 1L</t>
  </si>
  <si>
    <t xml:space="preserve">920</t>
  </si>
  <si>
    <t xml:space="preserve">£2.25/litre</t>
  </si>
  <si>
    <t xml:space="preserve">https://groceries.morrisons.com/products/crisp-n-dry-rapeseed-oil/100397551</t>
  </si>
  <si>
    <t xml:space="preserve">branded. On offer: was £2.95 now £2.25 (standard promotion; unit price shown is the offer price of £2.25/litre). Only own-brand rapeseed is The Best 500ml (premium; excluded). Oil bottle: drained not applicable.</t>
  </si>
  <si>
    <t xml:space="preserve">Mazola Pure Rapeseed Oil 1L</t>
  </si>
  <si>
    <t xml:space="preserve">£3.75/litre</t>
  </si>
  <si>
    <t xml:space="preserve">https://www.sainsburys.co.uk/gol-ui/SearchResults/mazola%20pure%20rapeseed%20oil%201l</t>
  </si>
  <si>
    <t xml:space="preserve">branded. Only own-brand rapeseed oil is SO Organic 1L £4.55 (excluded). Regular price £3.75; Nectar price £2.50 ignored. Oil bottle: drained not applicable.</t>
  </si>
  <si>
    <t xml:space="preserve">Crisp 'N Dry 100% Rapeseed Oil 1L</t>
  </si>
  <si>
    <t xml:space="preserve">£3.00/litre</t>
  </si>
  <si>
    <t xml:space="preserve">https://www.tesco.com/shop/en-GB/products/258732769</t>
  </si>
  <si>
    <t xml:space="preserve">branded. No Tesco standard-range rapeseed oil 1L (only Organic and Finest 500ml). Clubcard price £2.25 ignored. Cheaper than Kujawski £3.50. Oil bottle: drained not applicable.</t>
  </si>
  <si>
    <t xml:space="preserve">Morrisons Toasted Sesame Oil 250ml</t>
  </si>
  <si>
    <t xml:space="preserve">230</t>
  </si>
  <si>
    <t xml:space="preserve">£10.60/litre</t>
  </si>
  <si>
    <t xml:space="preserve">https://groceries.morrisons.com/search?q=toasted%20sesame%20oil</t>
  </si>
  <si>
    <t xml:space="preserve">Oil: 250ml x 0.92; 'sesame oil' search returned 403 twice; this is from the 'toasted sesame oil' search</t>
  </si>
  <si>
    <t xml:space="preserve">Sainsbury's Sesame Oil, Toasted 250ml</t>
  </si>
  <si>
    <t xml:space="preserve">£11.00/ltr</t>
  </si>
  <si>
    <t xml:space="preserve">https://www.sainsburys.co.uk/gol-ui/SearchResults/sesame%20oil</t>
  </si>
  <si>
    <t xml:space="preserve">Oil: 250ml x 0.92</t>
  </si>
  <si>
    <t xml:space="preserve">Tesco Toasted Sesame Oil 250ml</t>
  </si>
  <si>
    <t xml:space="preserve">https://www.tesco.com/groceries/en-GB/search?query=sesame%20oil</t>
  </si>
  <si>
    <t xml:space="preserve">Morrisons Sunflower Oil 1L</t>
  </si>
  <si>
    <t xml:space="preserve">£1.45/litre</t>
  </si>
  <si>
    <t xml:space="preserve">https://groceries.morrisons.com/search?q=sunflower%20oil</t>
  </si>
  <si>
    <t xml:space="preserve">JS Sunflower Oil 1L</t>
  </si>
  <si>
    <t xml:space="preserve">£1.45 / ltr</t>
  </si>
  <si>
    <t xml:space="preserve">https://www.sainsburys.co.uk/gol-ui/SearchResults/sunflower%20oil</t>
  </si>
  <si>
    <t xml:space="preserve">Aldi price match (shelf price)</t>
  </si>
  <si>
    <t xml:space="preserve">Tesco Pure Sunflower Oil 1L</t>
  </si>
  <si>
    <t xml:space="preserve">https://www.tesco.com/groceries/en-GB/search?query=sunflower%20oil</t>
  </si>
  <si>
    <t xml:space="preserve">Billington's Light Brown Soft Sugar 500g</t>
  </si>
  <si>
    <t xml:space="preserve">£3.00/kg (offer price £1.50)</t>
  </si>
  <si>
    <t xml:space="preserve">https://groceries.morrisons.com/search?q=soft%20brown%20sugar</t>
  </si>
  <si>
    <t xml:space="preserve">branded. No Morrisons own-brand soft brown sugar found on two searches. On offer at £1.50 (£3.00/kg) with was price £2.15 recorded (= £4.30/kg). Dark version £1.75 was £2.15.</t>
  </si>
  <si>
    <t xml:space="preserve">Sainsbury's Fairtrade Light Soft Brown Sugar 500g</t>
  </si>
  <si>
    <t xml:space="preserve">£4.10 / kg</t>
  </si>
  <si>
    <t xml:space="preserve">https://www.sainsburys.co.uk/gol-ui/SearchResults/soft%20brown%20sugar</t>
  </si>
  <si>
    <t xml:space="preserve">Dark version same price.</t>
  </si>
  <si>
    <t xml:space="preserve">Tesco Light Brown Soft Sugar 500g</t>
  </si>
  <si>
    <t xml:space="preserve">£4.00/kg</t>
  </si>
  <si>
    <t xml:space="preserve">https://www.tesco.com/groceries/en-GB/search?query=soft%20brown%20sugar%20500g</t>
  </si>
  <si>
    <t xml:space="preserve">Dark Brown Soft Sugar 500g same price.</t>
  </si>
  <si>
    <t xml:space="preserve">Morrisons Golden Syrup</t>
  </si>
  <si>
    <t xml:space="preserve">750g</t>
  </si>
  <si>
    <t xml:space="preserve">750</t>
  </si>
  <si>
    <t xml:space="preserve">£2.47/kg</t>
  </si>
  <si>
    <t xml:space="preserve">https://groceries.morrisons.com/search?q=golden%20syrup</t>
  </si>
  <si>
    <t xml:space="preserve">Sainsbury's Golden Syrup 750g</t>
  </si>
  <si>
    <t xml:space="preserve">£2.73/kg</t>
  </si>
  <si>
    <t xml:space="preserve">https://www.sainsburys.co.uk/gol-ui/SearchResults/golden%20syrup</t>
  </si>
  <si>
    <t xml:space="preserve">Tesco Golden Syrup 680G</t>
  </si>
  <si>
    <t xml:space="preserve">680G</t>
  </si>
  <si>
    <t xml:space="preserve">680</t>
  </si>
  <si>
    <t xml:space="preserve">https://www.tesco.com/groceries/en-GB/search?query=golden%20syrup</t>
  </si>
  <si>
    <t xml:space="preserve">Morrisons Malt Vinegar 568ml</t>
  </si>
  <si>
    <t xml:space="preserve">61.6p/litre</t>
  </si>
  <si>
    <t xml:space="preserve">https://groceries.morrisons.com/search?q=malt%20vinegar</t>
  </si>
  <si>
    <t xml:space="preserve">Sainsbury's Malt Vinegar 568ml</t>
  </si>
  <si>
    <t xml:space="preserve">79p/ltr</t>
  </si>
  <si>
    <t xml:space="preserve">https://www.sainsburys.co.uk/gol-ui/SearchResults/malt%20vinegar</t>
  </si>
  <si>
    <t xml:space="preserve">Sainsbury's Distilled Malt Vinegar 568ml same price</t>
  </si>
  <si>
    <t xml:space="preserve">Tesco Distilled Vinegar 568ml</t>
  </si>
  <si>
    <t xml:space="preserve">£0.62/litre</t>
  </si>
  <si>
    <t xml:space="preserve">https://www.tesco.com/groceries/en-GB/search?query=tesco%20vinegar</t>
  </si>
  <si>
    <t xml:space="preserve">No Tesco brown malt vinegar listed; distilled (clear) malt vinegar used. Aldi Price Match</t>
  </si>
  <si>
    <t xml:space="preserve">Morrisons Baking Powder</t>
  </si>
  <si>
    <t xml:space="preserve">£4.69/kg</t>
  </si>
  <si>
    <t xml:space="preserve">https://groceries.morrisons.com/search?q=baking%20powder</t>
  </si>
  <si>
    <t xml:space="preserve">Sainsbury's Baking Powder 160g</t>
  </si>
  <si>
    <t xml:space="preserve">£4.06/kg</t>
  </si>
  <si>
    <t xml:space="preserve">https://www.sainsburys.co.uk/gol-ui/SearchResults/baking%20powder</t>
  </si>
  <si>
    <t xml:space="preserve">Borwick's Baking Powder 200G</t>
  </si>
  <si>
    <t xml:space="preserve">£5.75/kg</t>
  </si>
  <si>
    <t xml:space="preserve">https://www.tesco.com/groceries/en-GB/search?query=baking%20powder</t>
  </si>
  <si>
    <t xml:space="preserve">branded; no Tesco standard-range baking powder (Stockwell &amp; Co. 150G £0.57 is value range - excluded); 'Everyday Low Price'</t>
  </si>
  <si>
    <t xml:space="preserve">Morrisons Dijon Mustard</t>
  </si>
  <si>
    <t xml:space="preserve">185g</t>
  </si>
  <si>
    <t xml:space="preserve">185</t>
  </si>
  <si>
    <t xml:space="preserve">£2.43/kg</t>
  </si>
  <si>
    <t xml:space="preserve">https://groceries.morrisons.com/search?q=dijon%20mustard</t>
  </si>
  <si>
    <t xml:space="preserve">Sainsbury's Dijon Mustard 185g</t>
  </si>
  <si>
    <t xml:space="preserve">£2.43 / kg</t>
  </si>
  <si>
    <t xml:space="preserve">https://www.sainsburys.co.uk/gol-ui/SearchResults/dijon%20mustard</t>
  </si>
  <si>
    <t xml:space="preserve">Added after review (Sainsbury's had not been searched)</t>
  </si>
  <si>
    <t xml:space="preserve">Tesco Dijon Mustard 185G</t>
  </si>
  <si>
    <t xml:space="preserve">https://www.tesco.com/groceries/en-GB/search?query=dijon%20mustard</t>
  </si>
  <si>
    <t xml:space="preserve">Aldi Price Match label; added after review (Tesco had not been searched)</t>
  </si>
  <si>
    <t xml:space="preserve">Morrisons Wholegrain Mustard 175g</t>
  </si>
  <si>
    <t xml:space="preserve">£2.51/kg</t>
  </si>
  <si>
    <t xml:space="preserve">https://groceries.morrisons.com/search?q=wholegrain%20mustard</t>
  </si>
  <si>
    <t xml:space="preserve">175g jar (not 185g).</t>
  </si>
  <si>
    <t xml:space="preserve">Sainsbury's Wholegrain Mustard 180g</t>
  </si>
  <si>
    <t xml:space="preserve">£2.44 / kg</t>
  </si>
  <si>
    <t xml:space="preserve">https://www.sainsburys.co.uk/gol-ui/SearchResults/wholegrain%20mustard</t>
  </si>
  <si>
    <t xml:space="preserve">Shown with Aldi price match indicator. 180g jar (not 185g).</t>
  </si>
  <si>
    <t xml:space="preserve">Tesco Wholegrain Mustard 180G</t>
  </si>
  <si>
    <t xml:space="preserve">£2.44/kg</t>
  </si>
  <si>
    <t xml:space="preserve">https://www.tesco.com/groceries/en-GB/search?query=wholegrain%20mustard</t>
  </si>
  <si>
    <t xml:space="preserve">Shown with Aldi Price Match badge. 180g jar (not 185g).</t>
  </si>
  <si>
    <t xml:space="preserve">Morrisons Table Salt 750g</t>
  </si>
  <si>
    <t xml:space="preserve">86.7p/kg</t>
  </si>
  <si>
    <t xml:space="preserve">https://groceries.morrisons.com/search?q=table%20salt</t>
  </si>
  <si>
    <t xml:space="preserve">tagged Unbeatable Price</t>
  </si>
  <si>
    <t xml:space="preserve">Sainsbury's Table Salt Bottle 750g</t>
  </si>
  <si>
    <t xml:space="preserve">https://www.sainsburys.co.uk/gol-ui/SearchResults/table%20salt</t>
  </si>
  <si>
    <t xml:space="preserve">Tesco Cooking Salt 1.5Kg</t>
  </si>
  <si>
    <t xml:space="preserve">£1.27/kg</t>
  </si>
  <si>
    <t xml:space="preserve">https://www.tesco.com/groceries/en-GB/search?query=tesco%20salt</t>
  </si>
  <si>
    <t xml:space="preserve">no Tesco own-brand table salt listed in 'table salt' or 'tesco salt' searches; own-brand cooking salt used; cheapest branded table salt is Saxa Salt 750G £1.90 (£2.53/kg)</t>
  </si>
  <si>
    <t xml:space="preserve">Morrisons Fast Action Yeast Sachets 8 x 7g</t>
  </si>
  <si>
    <t xml:space="preserve">8 x 7g</t>
  </si>
  <si>
    <t xml:space="preserve">56</t>
  </si>
  <si>
    <t xml:space="preserve">£27.68/kg</t>
  </si>
  <si>
    <t xml:space="preserve">https://groceries.morrisons.com/search?q=dried%20yeast</t>
  </si>
  <si>
    <t xml:space="preserve">Sainsbury's Fast Action Dried Yeast Sachets x8 56g</t>
  </si>
  <si>
    <t xml:space="preserve">x8 56g</t>
  </si>
  <si>
    <t xml:space="preserve">£28.57/kg</t>
  </si>
  <si>
    <t xml:space="preserve">https://www.sainsburys.co.uk/gol-ui/SearchResults/dried%20yeast</t>
  </si>
  <si>
    <t xml:space="preserve">Tesco Fast Action Dried Yeast 56G</t>
  </si>
  <si>
    <t xml:space="preserve">56G</t>
  </si>
  <si>
    <t xml:space="preserve">https://www.tesco.com/groceries/en-GB/search?query=dried%20yeast</t>
  </si>
  <si>
    <t xml:space="preserve">Morrisons Beef Stock Cubes 12's</t>
  </si>
  <si>
    <t xml:space="preserve">£10.83/kg</t>
  </si>
  <si>
    <t xml:space="preserve">https://groceries.morrisons.com/search?q=beef%20stock%20cubes</t>
  </si>
  <si>
    <t xml:space="preserve">12 cubes</t>
  </si>
  <si>
    <t xml:space="preserve">Sainsbury's Stock Cubes, Beef 10x10g</t>
  </si>
  <si>
    <t xml:space="preserve">10x10g</t>
  </si>
  <si>
    <t xml:space="preserve">£11.00/kg</t>
  </si>
  <si>
    <t xml:space="preserve">https://www.sainsburys.co.uk/gol-ui/SearchResults/beef%20stock%20cubes</t>
  </si>
  <si>
    <t xml:space="preserve">10 cubes</t>
  </si>
  <si>
    <t xml:space="preserve">Tesco Beef Stock Cubes 10 Pack 100g</t>
  </si>
  <si>
    <t xml:space="preserve">10 Pack 100g</t>
  </si>
  <si>
    <t xml:space="preserve">https://www.tesco.com/groceries/en-GB/search?query=beef%20stock%20cubes</t>
  </si>
  <si>
    <t xml:space="preserve">Morrisons Green Pesto</t>
  </si>
  <si>
    <t xml:space="preserve">190g</t>
  </si>
  <si>
    <t xml:space="preserve">190</t>
  </si>
  <si>
    <t xml:space="preserve">£4.68/kg</t>
  </si>
  <si>
    <t xml:space="preserve">https://groceries.morrisons.com/search?q=green%20basil%20pesto</t>
  </si>
  <si>
    <t xml:space="preserve">Shown with 'Unbeatable Price' label, no was price</t>
  </si>
  <si>
    <t xml:space="preserve">Sainsbury's Green Pesto 190g</t>
  </si>
  <si>
    <t xml:space="preserve">£4.68 / kg</t>
  </si>
  <si>
    <t xml:space="preserve">https://www.sainsburys.co.uk/gol-ui/SearchResults/green%20basil%20pesto</t>
  </si>
  <si>
    <t xml:space="preserve">Aldi price match badge shown</t>
  </si>
  <si>
    <t xml:space="preserve">Tesco Classic Green Pesto 190G</t>
  </si>
  <si>
    <t xml:space="preserve">190G</t>
  </si>
  <si>
    <t xml:space="preserve">https://www.tesco.com/groceries/en-GB/search?query=green%20pesto</t>
  </si>
  <si>
    <t xml:space="preserve">Aldi Price Match badge shown; price is the regular shelf price. First fetch of query 'green basil pesto' returned 404, used 'green pesto'.</t>
  </si>
  <si>
    <t xml:space="preserve">East End Foods Pure Butter Ghee 500g</t>
  </si>
  <si>
    <t xml:space="preserve">£15.00/kg (offer price £6.00 = £12.00/kg)</t>
  </si>
  <si>
    <t xml:space="preserve">https://groceries.morrisons.com/search?q=ghee</t>
  </si>
  <si>
    <t xml:space="preserve">branded. No Morrisons own-brand ghee. Offer: now £6.00 (£12.00/kg) with was price £7.50 recorded. Laila 500g was £7.50 now £4.50; KTC 500g £7.95.</t>
  </si>
  <si>
    <t xml:space="preserve">East End Pure Butter Ghee for Cooking 500g</t>
  </si>
  <si>
    <t xml:space="preserve">£15.00 / kg</t>
  </si>
  <si>
    <t xml:space="preserve">https://www.sainsburys.co.uk/gol-ui/SearchResults/ghee</t>
  </si>
  <si>
    <t xml:space="preserve">branded. No Sainsbury's own-brand ghee. Page shows £4.50 (£9.00/kg) as a Nectar price so the was price £7.50 is recorded. Laila 500g shows the same pattern.</t>
  </si>
  <si>
    <t xml:space="preserve">East End Pure Butter Ghee 500G</t>
  </si>
  <si>
    <t xml:space="preserve">£15.00/kg</t>
  </si>
  <si>
    <t xml:space="preserve">https://www.tesco.com/groceries/en-GB/search?query=ghee%20500g</t>
  </si>
  <si>
    <t xml:space="preserve">branded. No Tesco own-brand ghee. Khanum Pure Butter Ghee 500G is the same price. Clubcard price £4.50 ignored.</t>
  </si>
  <si>
    <t xml:space="preserve">Morrisons Vegetable Oil 1l</t>
  </si>
  <si>
    <t xml:space="preserve">1l</t>
  </si>
  <si>
    <t xml:space="preserve">https://groceries.morrisons.com/search?q=vegetable%20oil</t>
  </si>
  <si>
    <t xml:space="preserve">tagged Unbeatable Price; pack_grams = 1000ml x 0.92</t>
  </si>
  <si>
    <t xml:space="preserve">Sainsbury's Vegetable Oil 1L</t>
  </si>
  <si>
    <t xml:space="preserve">£1.45/ltr</t>
  </si>
  <si>
    <t xml:space="preserve">https://www.sainsburys.co.uk/gol-ui/SearchResults/vegetable%20oil</t>
  </si>
  <si>
    <t xml:space="preserve">Aldi price match; pack_grams = 1000ml x 0.92</t>
  </si>
  <si>
    <t xml:space="preserve">Tesco Pure Vegetable Oil 1L</t>
  </si>
  <si>
    <t xml:space="preserve">https://www.tesco.com/groceries/en-GB/search?query=vegetable%20oil</t>
  </si>
  <si>
    <t xml:space="preserve">Aldi Price Match; pack_grams = 1000ml x 0.92</t>
  </si>
  <si>
    <t xml:space="preserve">Morrisons Tikka Masala Curry Paste 180g</t>
  </si>
  <si>
    <t xml:space="preserve">https://groceries.morrisons.com/search?q=curry%20paste</t>
  </si>
  <si>
    <t xml:space="preserve">Morrisons Korma Curry Paste 180g is £1.90</t>
  </si>
  <si>
    <t xml:space="preserve">Sainsbury's Fragrant Tikka Curry Paste 200g</t>
  </si>
  <si>
    <t xml:space="preserve">https://www.sainsburys.co.uk/gol-ui/SearchResults/curry%20paste</t>
  </si>
  <si>
    <t xml:space="preserve">Indian-style; Korma, Rogan Josh, Balti, Madras 200g same price</t>
  </si>
  <si>
    <t xml:space="preserve">Tesco Red Thai Curry Paste 180g</t>
  </si>
  <si>
    <t xml:space="preserve">https://www.tesco.com/groceries/en-GB/search?query=curry%20paste</t>
  </si>
  <si>
    <t xml:space="preserve">DOUBTFUL: Thai paste, while Sainsbury's/Morrisons rows are Indian tikka paste. Only own-brand pastes on page 1 were Thai (red, green, massaman, all £2.25/180g); search for a Tesco Indian-style paste got 404 then the fetch quota ran out</t>
  </si>
  <si>
    <t xml:space="preserve">Morrisons Light Soy Sauce</t>
  </si>
  <si>
    <t xml:space="preserve">£6.00/litre</t>
  </si>
  <si>
    <t xml:space="preserve">https://groceries.morrisons.com/search?q=soy%20sauce</t>
  </si>
  <si>
    <t xml:space="preserve">Morrisons Dark Soy Sauce 150ml same price</t>
  </si>
  <si>
    <t xml:space="preserve">Sainsbury's Light Soy Sauce 150ml</t>
  </si>
  <si>
    <t xml:space="preserve">£3.67/ltr</t>
  </si>
  <si>
    <t xml:space="preserve">https://www.sainsburys.co.uk/gol-ui/SearchResults/soy%20sauce</t>
  </si>
  <si>
    <t xml:space="preserve">Tesco Light Soy Sauce 150ml</t>
  </si>
  <si>
    <t xml:space="preserve">£3.67/litre</t>
  </si>
  <si>
    <t xml:space="preserve">https://www.tesco.com/groceries/en-GB/search?query=soy%20sauce</t>
  </si>
  <si>
    <t xml:space="preserve">Tesco Dark Soy Sauce 150ml same price</t>
  </si>
  <si>
    <t xml:space="preserve">Morrisons Worcester Sauce</t>
  </si>
  <si>
    <t xml:space="preserve">Ordinarily £8.67/litre</t>
  </si>
  <si>
    <t xml:space="preserve">https://groceries.morrisons.com/search?q=worcestershire%20sauce</t>
  </si>
  <si>
    <t xml:space="preserve">Sainsbury's Worcester Sauce 150ml</t>
  </si>
  <si>
    <t xml:space="preserve">£8.67 / ltr</t>
  </si>
  <si>
    <t xml:space="preserve">https://www.sainsburys.co.uk/gol-ui/SearchResults/worcestershire%20sauce</t>
  </si>
  <si>
    <t xml:space="preserve">Tesco Worcester Sauce 150ml</t>
  </si>
  <si>
    <t xml:space="preserve">£8.67/litre</t>
  </si>
  <si>
    <t xml:space="preserve">https://www.tesco.com/groceries/en-GB/search?query=worcestershire%20sauce</t>
  </si>
  <si>
    <t xml:space="preserve">Morrisons Chicken Gravy Granules 200g</t>
  </si>
  <si>
    <t xml:space="preserve">Ordinarily £3.65/kg</t>
  </si>
  <si>
    <t xml:space="preserve">https://groceries.morrisons.com/search?q=gravy%20granules</t>
  </si>
  <si>
    <t xml:space="preserve">Beef version 200g same price.</t>
  </si>
  <si>
    <t xml:space="preserve">Sainsbury's Chicken Gravy Granules 170g</t>
  </si>
  <si>
    <t xml:space="preserve">170g</t>
  </si>
  <si>
    <t xml:space="preserve">170</t>
  </si>
  <si>
    <t xml:space="preserve">£3.82 / kg</t>
  </si>
  <si>
    <t xml:space="preserve">https://www.sainsburys.co.uk/gol-ui/SearchResults/gravy%20granules</t>
  </si>
  <si>
    <t xml:space="preserve">Gravy Granules For Meat 170g same price.</t>
  </si>
  <si>
    <t xml:space="preserve">Tesco Gravy Granules For Chicken 200G</t>
  </si>
  <si>
    <t xml:space="preserve">https://www.tesco.com/groceries/en-GB/search?query=gravy%20granules</t>
  </si>
  <si>
    <t xml:space="preserve">Aldi Price Match badge. Beef version 200G same price.</t>
  </si>
  <si>
    <t xml:space="preserve">Morrisons Chicken Stock Cubes 12's</t>
  </si>
  <si>
    <t xml:space="preserve">12 cubes 120g</t>
  </si>
  <si>
    <t xml:space="preserve">https://groceries.morrisons.com/search?q=chicken%20stock%20cubes</t>
  </si>
  <si>
    <t xml:space="preserve">12 cubes; stock yield per cube not shown on search page</t>
  </si>
  <si>
    <t xml:space="preserve">Sainsbury's Stock Cubes, Chicken 10x10g</t>
  </si>
  <si>
    <t xml:space="preserve">https://www.sainsburys.co.uk/gol-ui/SearchResults/chicken%20stock%20cubes</t>
  </si>
  <si>
    <t xml:space="preserve">10 cubes; stock yield per cube not shown on search page</t>
  </si>
  <si>
    <t xml:space="preserve">Tesco Chicken Stock Cubes 10 Pack 100g</t>
  </si>
  <si>
    <t xml:space="preserve">https://www.tesco.com/groceries/en-GB/search?query=chicken%20stock%20cubes</t>
  </si>
  <si>
    <t xml:space="preserve">Morrisons Vegetable Stock Cubes 12's</t>
  </si>
  <si>
    <t xml:space="preserve">12 cubes, 120g</t>
  </si>
  <si>
    <t xml:space="preserve">https://groceries.morrisons.com/search?q=vegetable%20stock%20cubes</t>
  </si>
  <si>
    <t xml:space="preserve">Sainsbury's Vegetable Stock Cubes 10 x 10g</t>
  </si>
  <si>
    <t xml:space="preserve">10 x 10g</t>
  </si>
  <si>
    <t xml:space="preserve">https://www.sainsburys.co.uk/gol-ui/SearchResults/vegetable%20stock%20cubes</t>
  </si>
  <si>
    <t xml:space="preserve">Tesco Vegetable Stock Cubes 10 Pack 100g</t>
  </si>
  <si>
    <t xml:space="preserve">https://www.tesco.com/groceries/en-GB/search?query=vegetable%20stock%20cubes</t>
  </si>
  <si>
    <t xml:space="preserve">https://groceries.morrisons.com/products/morrisons-chicken-stock-cubes-12-s/105712961</t>
  </si>
  <si>
    <t xml:space="preserve">12 cubes (120g); water per cube not checked (product page fetch hit WebFetch session limit)</t>
  </si>
  <si>
    <t xml:space="preserve">10 cubes x 10g; water per cube not found (product URL not available from search page; follow-up fetch hit WebFetch session limit)</t>
  </si>
  <si>
    <t xml:space="preserve">https://www.tesco.com/shop/en-GB/products/264545711</t>
  </si>
  <si>
    <t xml:space="preserve">10 cubes x 10g; pack says 'Add 450ml (3/4 pint) of boiling water' per cube</t>
  </si>
  <si>
    <t xml:space="preserve">Morrisons British Boneless Chicken Thigh Fillets 600g</t>
  </si>
  <si>
    <t xml:space="preserve">600g</t>
  </si>
  <si>
    <t xml:space="preserve">600</t>
  </si>
  <si>
    <t xml:space="preserve">£8.33/kg (offer price; shop did not show was-price unit)</t>
  </si>
  <si>
    <t xml:space="preserve">https://groceries.morrisons.com/search?q=chicken%20thigh%20fillets%20600g</t>
  </si>
  <si>
    <t xml:space="preserve">On offer at £5.00 (£8.33/kg); was price £5.75 recorded per rules. 5.75/600*1000 = £9.58/kg. Smallest own-brand pack is 600g (other size 1kg)</t>
  </si>
  <si>
    <t xml:space="preserve">https://www.sainsburys.co.uk/gol-ui/SearchResults/chicken%20thigh%20fillets</t>
  </si>
  <si>
    <t xml:space="preserve">Not priced: page returned only a 'enable JavaScript' shell with no product listings on two attempts</t>
  </si>
  <si>
    <t xml:space="preserve">Tesco British Chicken Thigh Fillets 600G</t>
  </si>
  <si>
    <t xml:space="preserve">600G</t>
  </si>
  <si>
    <t xml:space="preserve">£9.58/kg</t>
  </si>
  <si>
    <t xml:space="preserve">https://www.tesco.com/groceries/en-GB/search?query=chicken%20thigh%20fillets</t>
  </si>
  <si>
    <t xml:space="preserve">Smallest own-brand pack found is 600g (other size 1kg); no 500g pack seen</t>
  </si>
  <si>
    <t xml:space="preserve">Morrisons British Chicken Legs 1.35kg</t>
  </si>
  <si>
    <t xml:space="preserve">1.35kg</t>
  </si>
  <si>
    <t xml:space="preserve">1350</t>
  </si>
  <si>
    <t xml:space="preserve">Ordinarily £2.70/kg</t>
  </si>
  <si>
    <t xml:space="preserve">https://groceries.morrisons.com/search?q=chicken%20legs</t>
  </si>
  <si>
    <t xml:space="preserve">Only own-brand whole leg pack found is 1.35kg (larger than the 1kg guide).</t>
  </si>
  <si>
    <t xml:space="preserve">Sainsbury's 1kg British Fresh Skin on Chicken Legs</t>
  </si>
  <si>
    <t xml:space="preserve">£2.25 / kg</t>
  </si>
  <si>
    <t xml:space="preserve">https://www.sainsburys.co.uk/gol-ui/SearchResults/chicken%20legs</t>
  </si>
  <si>
    <t xml:space="preserve">Aldi price match badge.</t>
  </si>
  <si>
    <t xml:space="preserve">Tesco British Chicken Legs 1Kg</t>
  </si>
  <si>
    <t xml:space="preserve">£2.25/kg</t>
  </si>
  <si>
    <t xml:space="preserve">https://www.tesco.com/groceries/en-GB/search?query=chicken%20legs</t>
  </si>
  <si>
    <t xml:space="preserve">Aldi Price Match badge. 'whole chicken legs' search returned a 404 twice so 'chicken legs' search was used.</t>
  </si>
  <si>
    <t xml:space="preserve">Morrisons British Turkey Breast Steaks 300g</t>
  </si>
  <si>
    <t xml:space="preserve">https://groceries.morrisons.com/search?q=turkey%20breast</t>
  </si>
  <si>
    <t xml:space="preserve">Buy 3 for £10 multibuy</t>
  </si>
  <si>
    <t xml:space="preserve">Sainsbury's British Turkey Breast Fillets 250g</t>
  </si>
  <si>
    <t xml:space="preserve">https://www.sainsburys.co.uk/gol-ui/SearchResults/turkey%20breast</t>
  </si>
  <si>
    <t xml:space="preserve">Tesco British Turkey Breast Steaks 380G</t>
  </si>
  <si>
    <t xml:space="preserve">380G</t>
  </si>
  <si>
    <t xml:space="preserve">380</t>
  </si>
  <si>
    <t xml:space="preserve">https://www.tesco.com/groceries/en-GB/search?query=turkey%20breast</t>
  </si>
  <si>
    <t xml:space="preserve">Tesco Mini Turkey Breast Fillets 400G also listed £5.50 (£13.75/kg)</t>
  </si>
  <si>
    <t xml:space="preserve">Morrisons Turkey Mince 4% 500g</t>
  </si>
  <si>
    <t xml:space="preserve">https://groceries.morrisons.com/search?q=turkey%20breast%20mince</t>
  </si>
  <si>
    <t xml:space="preserve">Doubtful: no product labelled breast mince at Morrisons; this is the standard own-brand turkey mince (4% fat) not labelled breast. Thigh mince (£4.25) not used.</t>
  </si>
  <si>
    <t xml:space="preserve">Sainsbury's 2% Fat Fresh British Turkey Mince 500g</t>
  </si>
  <si>
    <t xml:space="preserve">£9.90/kg</t>
  </si>
  <si>
    <t xml:space="preserve">https://www.sainsburys.co.uk/gol-ui/SearchResults/turkey%20breast%20mince</t>
  </si>
  <si>
    <t xml:space="preserve">Product name does not say breast; it is the 2% fat turkey mince returned for the breast mince search. 7% fat version (£4.25) was a Nectar price so ignored.</t>
  </si>
  <si>
    <t xml:space="preserve">Tesco British Turkey Breast Mince 2% Fat 500G</t>
  </si>
  <si>
    <t xml:space="preserve">https://www.tesco.com/groceries/en-GB/search?query=turkey%20breast%20mince%20500g</t>
  </si>
  <si>
    <t xml:space="preserve">Morrisons British Lamb Mince 454g</t>
  </si>
  <si>
    <t xml:space="preserve">454g</t>
  </si>
  <si>
    <t xml:space="preserve">454</t>
  </si>
  <si>
    <t xml:space="preserve">£13.77/kg</t>
  </si>
  <si>
    <t xml:space="preserve">https://groceries.morrisons.com/search?q=lamb%20mince</t>
  </si>
  <si>
    <t xml:space="preserve">Fresh; frozen Morrisons Lamb Mince 500g £5.50 (£11.00/kg) also sold</t>
  </si>
  <si>
    <t xml:space="preserve">Sainsbury's British or New Zealand 20% Fat Lamb Mince 250g</t>
  </si>
  <si>
    <t xml:space="preserve">https://www.sainsburys.co.uk/gol-ui/SearchResults/lamb%20mince</t>
  </si>
  <si>
    <t xml:space="preserve">Smallest pack; same product 500g is £7.00 (£14.00/kg)</t>
  </si>
  <si>
    <t xml:space="preserve">Tesco British Lamb Mince 20% Fat 500G</t>
  </si>
  <si>
    <t xml:space="preserve">https://www.tesco.com/groceries/en-GB/search?query=lamb%20mince</t>
  </si>
  <si>
    <t xml:space="preserve">Morrisons British Pork Mince 20% Fat 500g</t>
  </si>
  <si>
    <t xml:space="preserve">https://groceries.morrisons.com/search?q=pork%20mince%20500g</t>
  </si>
  <si>
    <t xml:space="preserve">20% fat chosen for consistency; excluded Savers 500g (also £2.50). A 454g pack at £2.39 also exists</t>
  </si>
  <si>
    <t xml:space="preserve">Sainsbury's British Pork Mince 20% Fat 500g</t>
  </si>
  <si>
    <t xml:space="preserve">£4.90/kg</t>
  </si>
  <si>
    <t xml:space="preserve">https://www.sainsburys.co.uk/gol-ui/SearchResults/pork%20mince</t>
  </si>
  <si>
    <t xml:space="preserve">20% fat chosen for consistency; 10% fat 500g is £2.50 (£5.00/kg). First fetch (query 'pork mince 500g') listed only 10% and 5%, the 20% pack showed on the 'pork mince' search</t>
  </si>
  <si>
    <t xml:space="preserve">Tesco Pork Mince 20% Fat 500G</t>
  </si>
  <si>
    <t xml:space="preserve">£4.80/kg</t>
  </si>
  <si>
    <t xml:space="preserve">https://www.tesco.com/groceries/en-GB/search?query=pork%20mince%20500g</t>
  </si>
  <si>
    <t xml:space="preserve">20% fat chosen as standard fat and for consistency across shops; Tesco British Pork Mince 10% Fat 500g is £2.45 (£4.90/kg)</t>
  </si>
  <si>
    <t xml:space="preserve">Maple Crest Pure Maple Syrup 250g</t>
  </si>
  <si>
    <t xml:space="preserve">£16.00/kg</t>
  </si>
  <si>
    <t xml:space="preserve">https://groceries.morrisons.com/search?q=maple%20syrup</t>
  </si>
  <si>
    <t xml:space="preserve">branded. No Morrisons own-brand pure maple syrup found.</t>
  </si>
  <si>
    <t xml:space="preserve">Maple Crest Maple Syrup 250g</t>
  </si>
  <si>
    <t xml:space="preserve">£16.60 / kg</t>
  </si>
  <si>
    <t xml:space="preserve">https://www.sainsburys.co.uk/gol-ui/SearchResults/pure%20maple%20syrup</t>
  </si>
  <si>
    <t xml:space="preserve">branded. Doubtful: listing does not say 'pure' (same brand sells as 'Pure Maple Syrup' at Morrisons). No standard own-brand; only Taste the Difference 250g (£5.20 was) which is excluded. Buckwud Organic 250g £6.20 was.</t>
  </si>
  <si>
    <t xml:space="preserve">Buckwud Organic Maple Syrup 250G</t>
  </si>
  <si>
    <t xml:space="preserve">£24.80/kg</t>
  </si>
  <si>
    <t xml:space="preserve">https://www.tesco.com/groceries/en-GB/search?query=maple%20syrup</t>
  </si>
  <si>
    <t xml:space="preserve">branded. Doubtful: organic. Only pure maple syrups listed are this and Tesco Finest (330G £6.85) so no standard own-brand or non-organic option. Others on page are maple-flavoured or zero-calorie syrups. 'pure maple syrup' search returned a 404 twice so 'maple syrup' search was used.</t>
  </si>
  <si>
    <t xml:space="preserve">Morrisons Cornflour 500G</t>
  </si>
  <si>
    <t xml:space="preserve">https://groceries.morrisons.com/search?q=cornflour</t>
  </si>
  <si>
    <t xml:space="preserve">Sainsbury's Cornflour 500g</t>
  </si>
  <si>
    <t xml:space="preserve">£5.30/kg</t>
  </si>
  <si>
    <t xml:space="preserve">https://www.sainsburys.co.uk/gol-ui/SearchResults/cornflour</t>
  </si>
  <si>
    <t xml:space="preserve">Tesco Cornflour 500G</t>
  </si>
  <si>
    <t xml:space="preserve">£5.10/kg</t>
  </si>
  <si>
    <t xml:space="preserve">https://www.tesco.com/groceries/en-GB/search?query=cornflour</t>
  </si>
  <si>
    <t xml:space="preserve">Morrisons Chia Seeds 150g</t>
  </si>
  <si>
    <t xml:space="preserve">£11.33/kg</t>
  </si>
  <si>
    <t xml:space="preserve">https://groceries.morrisons.com/search?q=chia%20seeds</t>
  </si>
  <si>
    <t xml:space="preserve">Own-brand only comes in 150g (smaller than the 200-300g requested). Branded Natural Selection Whole Chia Seeds 200g £2.25 (£11.25/kg) not used.</t>
  </si>
  <si>
    <t xml:space="preserve">Sainsbury's Chia Seeds 150g</t>
  </si>
  <si>
    <t xml:space="preserve">£12.00 / kg</t>
  </si>
  <si>
    <t xml:space="preserve">https://www.sainsburys.co.uk/gol-ui/SearchResults/chia%20seeds</t>
  </si>
  <si>
    <t xml:space="preserve">Own-brand only comes in 150g (smaller than the 200-300g requested). Branded Fudco Chia Seeds 250g was £1.75 (was £2.50) at £7.00/kg not used.</t>
  </si>
  <si>
    <t xml:space="preserve">Tesco Chia Seeds 150G</t>
  </si>
  <si>
    <t xml:space="preserve">150G</t>
  </si>
  <si>
    <t xml:space="preserve">https://www.tesco.com/groceries/en-GB/search?query=chia%20seeds</t>
  </si>
  <si>
    <t xml:space="preserve">Own-brand only comes in 150g (smaller than the 200-300g requested). Clubcard price £1.45 ignored. Cheapest branded 200-300g not found on page (Naturya Organic 175G £4.00).</t>
  </si>
  <si>
    <t xml:space="preserve">Morrisons Black Beans In Water</t>
  </si>
  <si>
    <t xml:space="preserve">400g (net 400 g, drained ? g)</t>
  </si>
  <si>
    <t xml:space="preserve">https://groceries.morrisons.com/products/morrisons-black-beans-in-water/115102525</t>
  </si>
  <si>
    <t xml:space="preserve">Priced per kg of drained weight. No drained weight shown on search or product page (only a per-half-can serving of 118g drained mentioned in nutrition text; not used). Unit price is per net kg: 0.50/0.400 = 1.25.</t>
  </si>
  <si>
    <t xml:space="preserve">Sainsbury's Black Beans in Water 400g (235g*)</t>
  </si>
  <si>
    <t xml:space="preserve">400g (235g*) (net 400 g, drained 235 g)</t>
  </si>
  <si>
    <t xml:space="preserve">235</t>
  </si>
  <si>
    <t xml:space="preserve">£1.91/kg</t>
  </si>
  <si>
    <t xml:space="preserve">https://www.sainsburys.co.uk/gol-ui/SearchResults/black%20beans%20400g</t>
  </si>
  <si>
    <t xml:space="preserve">Priced per kg of drained weight. Drained weight from bracket in search listing name; no product page URL available. 0.45/0.235 = 1.91 matches.</t>
  </si>
  <si>
    <t xml:space="preserve">Tesco Black Beans 400G</t>
  </si>
  <si>
    <t xml:space="preserve">400g (drained 235g) (net 400 g, drained 235 g)</t>
  </si>
  <si>
    <t xml:space="preserve">£1.96/kg DR.WT</t>
  </si>
  <si>
    <t xml:space="preserve">https://www.tesco.com/shop/en-GB/products/297021336</t>
  </si>
  <si>
    <t xml:space="preserve">Priced per kg of drained weight. Drained weight read on product page; described as black beans in water. 0.46/0.235 = 1.96 matches.</t>
  </si>
  <si>
    <t xml:space="preserve">Morrisons Golden Breadcrumbs 175g</t>
  </si>
  <si>
    <t xml:space="preserve">£6.80/kg</t>
  </si>
  <si>
    <t xml:space="preserve">https://groceries.morrisons.com/search?q=breadcrumbs</t>
  </si>
  <si>
    <t xml:space="preserve">Pack is 175g (a little under the 200-300g guide). Natural Breadcrumbs 175g £1.20.</t>
  </si>
  <si>
    <t xml:space="preserve">Sainsbury's Golden Breadcrumbs 230g</t>
  </si>
  <si>
    <t xml:space="preserve">230g</t>
  </si>
  <si>
    <t xml:space="preserve">£6.96/kg</t>
  </si>
  <si>
    <t xml:space="preserve">https://www.sainsburys.co.uk/gol-ui/SearchResults/breadcrumbs</t>
  </si>
  <si>
    <t xml:space="preserve">Natural Fine Breadcrumbs 230g same price.</t>
  </si>
  <si>
    <t xml:space="preserve">Tesco Golden Breadcrumbs 175G</t>
  </si>
  <si>
    <t xml:space="preserve">175G</t>
  </si>
  <si>
    <t xml:space="preserve">£7.14/kg</t>
  </si>
  <si>
    <t xml:space="preserve">https://www.tesco.com/groceries/en-GB/search?query=breadcrumbs</t>
  </si>
  <si>
    <t xml:space="preserve">Pack is 175g (a little under the 200-300g guide). White Breadcrumbs 175G same price.</t>
  </si>
  <si>
    <t xml:space="preserve">ONS item</t>
  </si>
  <si>
    <t xml:space="preserve">ONS pack size</t>
  </si>
  <si>
    <t xml:space="preserve">Average price Aug 2026 (£)</t>
  </si>
  <si>
    <t xml:space="preserve">Used for these food codes</t>
  </si>
  <si>
    <t xml:space="preserve">Apples - not cooking</t>
  </si>
  <si>
    <t xml:space="preserve">1000 g</t>
  </si>
  <si>
    <t xml:space="preserve">Baked beans</t>
  </si>
  <si>
    <t xml:space="preserve">425 g</t>
  </si>
  <si>
    <t xml:space="preserve">Bananas</t>
  </si>
  <si>
    <t xml:space="preserve">Beans - fresh (excl. soya or edamame)</t>
  </si>
  <si>
    <t xml:space="preserve">Beef - minced or diced</t>
  </si>
  <si>
    <t xml:space="preserve">18-007, 18-077, 18-469, 18-508</t>
  </si>
  <si>
    <t xml:space="preserve">Beef - steak or chops</t>
  </si>
  <si>
    <t xml:space="preserve">18-065, 18-471</t>
  </si>
  <si>
    <t xml:space="preserve">Bread - sliced white</t>
  </si>
  <si>
    <t xml:space="preserve">800 g</t>
  </si>
  <si>
    <t xml:space="preserve">Bread - sliced wholemeal or brown</t>
  </si>
  <si>
    <t xml:space="preserve">Broccoli</t>
  </si>
  <si>
    <t xml:space="preserve">Butter - dairy (block or tub)</t>
  </si>
  <si>
    <t xml:space="preserve">250 g</t>
  </si>
  <si>
    <t xml:space="preserve">17-661, 17-685</t>
  </si>
  <si>
    <t xml:space="preserve">Carrots</t>
  </si>
  <si>
    <t xml:space="preserve">Cheese - Cheddar</t>
  </si>
  <si>
    <t xml:space="preserve">Cheese - parmesan and similar products</t>
  </si>
  <si>
    <t xml:space="preserve">Cheese - spreadable</t>
  </si>
  <si>
    <t xml:space="preserve">150 g</t>
  </si>
  <si>
    <t xml:space="preserve">Chicken - fillet or steak</t>
  </si>
  <si>
    <t xml:space="preserve">18-290, 18-488</t>
  </si>
  <si>
    <t xml:space="preserve">Chicken - whole</t>
  </si>
  <si>
    <t xml:space="preserve">Chocolate - plain or flavoured</t>
  </si>
  <si>
    <t xml:space="preserve">17-491, 17-648</t>
  </si>
  <si>
    <t xml:space="preserve">Condiments - mayonnaise</t>
  </si>
  <si>
    <t xml:space="preserve">500 ml</t>
  </si>
  <si>
    <t xml:space="preserve">Condiments - tomato ketchup</t>
  </si>
  <si>
    <t xml:space="preserve">500 g</t>
  </si>
  <si>
    <t xml:space="preserve">Courgette</t>
  </si>
  <si>
    <t xml:space="preserve">Couscous - dry</t>
  </si>
  <si>
    <t xml:space="preserve">300 g</t>
  </si>
  <si>
    <t xml:space="preserve">Cream - pouring and cooking (e.g. single, whipping)</t>
  </si>
  <si>
    <t xml:space="preserve">275 ml</t>
  </si>
  <si>
    <t xml:space="preserve">12-332, 12-333</t>
  </si>
  <si>
    <t xml:space="preserve">Eggs - free-range</t>
  </si>
  <si>
    <t xml:space="preserve">12 pack</t>
  </si>
  <si>
    <t xml:space="preserve">Fish - fresh cod</t>
  </si>
  <si>
    <t xml:space="preserve">Fish - fresh salmon</t>
  </si>
  <si>
    <t xml:space="preserve">Flour - self-raising</t>
  </si>
  <si>
    <t xml:space="preserve">1500 g</t>
  </si>
  <si>
    <t xml:space="preserve">11-886, 11-888</t>
  </si>
  <si>
    <t xml:space="preserve">Herbs - dried</t>
  </si>
  <si>
    <t xml:space="preserve">10 g</t>
  </si>
  <si>
    <t xml:space="preserve">13-878, 13-884</t>
  </si>
  <si>
    <t xml:space="preserve">400 g</t>
  </si>
  <si>
    <t xml:space="preserve">200 g</t>
  </si>
  <si>
    <t xml:space="preserve">Lamb - steaks, chops or fillets</t>
  </si>
  <si>
    <t xml:space="preserve">Milk - cow's (semi-skimmed, fresh)</t>
  </si>
  <si>
    <t xml:space="preserve">1136 ml</t>
  </si>
  <si>
    <t xml:space="preserve">12-307, 12-313</t>
  </si>
  <si>
    <t xml:space="preserve">Milk - cow's (whole, fresh)</t>
  </si>
  <si>
    <t xml:space="preserve">2272 ml</t>
  </si>
  <si>
    <t xml:space="preserve">Milk - oat</t>
  </si>
  <si>
    <t xml:space="preserve">1000 ml</t>
  </si>
  <si>
    <t xml:space="preserve">Mushrooms</t>
  </si>
  <si>
    <t xml:space="preserve">Noodles - Asian-style</t>
  </si>
  <si>
    <t xml:space="preserve">11-719, USDA-169742</t>
  </si>
  <si>
    <t xml:space="preserve">Oats or porridge</t>
  </si>
  <si>
    <t xml:space="preserve">750 g</t>
  </si>
  <si>
    <t xml:space="preserve">Oil - olive</t>
  </si>
  <si>
    <t xml:space="preserve">750 ml</t>
  </si>
  <si>
    <t xml:space="preserve">Onions</t>
  </si>
  <si>
    <t xml:space="preserve">Pasta - dry</t>
  </si>
  <si>
    <t xml:space="preserve">11-716, 11-718</t>
  </si>
  <si>
    <t xml:space="preserve">Peanut butter</t>
  </si>
  <si>
    <t xml:space="preserve">Peas - frozen</t>
  </si>
  <si>
    <t xml:space="preserve">900 g</t>
  </si>
  <si>
    <t xml:space="preserve">Pork - bacon (e.g. joint, rasher)</t>
  </si>
  <si>
    <t xml:space="preserve">19-016, 19-497</t>
  </si>
  <si>
    <t xml:space="preserve">Pork - steak or chops</t>
  </si>
  <si>
    <t xml:space="preserve">Pork or ham - cooked (e.g. slices, chunks, or pieces)</t>
  </si>
  <si>
    <t xml:space="preserve">Pork sausages</t>
  </si>
  <si>
    <t xml:space="preserve">Potatoes - baby, new or salad</t>
  </si>
  <si>
    <t xml:space="preserve">Potatoes - sweet</t>
  </si>
  <si>
    <t xml:space="preserve">Potatoes - white</t>
  </si>
  <si>
    <t xml:space="preserve">Rice - basmati or jasmine</t>
  </si>
  <si>
    <t xml:space="preserve">Seafood - frozen prawns and shrimps</t>
  </si>
  <si>
    <t xml:space="preserve">Strawberries</t>
  </si>
  <si>
    <t xml:space="preserve">Sugar - white</t>
  </si>
  <si>
    <t xml:space="preserve">Tomatoes</t>
  </si>
  <si>
    <t xml:space="preserve">Tomatoes - canned or jarred</t>
  </si>
  <si>
    <t xml:space="preserve">Wraps and tortillas (without filling)</t>
  </si>
  <si>
    <t xml:space="preserve">360 g</t>
  </si>
  <si>
    <t xml:space="preserve">Source: Office for National Statistics, Shopping prices comparison tool, average prices, Aug 2026. Data file avgprice.csv and metadata.csv from github.com/ONSvisual/cpi-items-actions (the repository behind the ONS tool, updated 27 Sep 2026).</t>
  </si>
  <si>
    <t xml:space="preserve">Tool: https://www.ons.gov.uk/economy/inflationandpriceindices/articles/shoppingpricescomparisontool/2023-05-03</t>
  </si>
  <si>
    <t xml:space="preserve">Contains public sector information licensed under the Open Government Licence v3.0.</t>
  </si>
  <si>
    <t xml:space="preserve">ONS averages are across shops and brands. From March 2026 many food prices include supermarket scanner data.</t>
  </si>
</sst>
</file>

<file path=xl/styles.xml><?xml version="1.0" encoding="utf-8"?>
<styleSheet xmlns="http://schemas.openxmlformats.org/spreadsheetml/2006/main">
  <numFmts count="5">
    <numFmt numFmtId="164" formatCode="General"/>
    <numFmt numFmtId="165" formatCode="General"/>
    <numFmt numFmtId="166" formatCode="\£0.00"/>
    <numFmt numFmtId="167" formatCode="0"/>
    <numFmt numFmtId="168"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7F7F7F"/>
      <name val="Arial"/>
      <family val="0"/>
      <charset val="1"/>
    </font>
    <font>
      <sz val="10"/>
      <color rgb="FF0000FF"/>
      <name val="Arial"/>
      <family val="0"/>
      <charset val="1"/>
    </font>
    <font>
      <b val="true"/>
      <sz val="10"/>
      <color rgb="FFC00000"/>
      <name val="Arial"/>
      <family val="0"/>
      <charset val="1"/>
    </font>
    <font>
      <sz val="10"/>
      <name val="Arial"/>
      <family val="2"/>
    </font>
    <font>
      <i val="true"/>
      <sz val="9"/>
      <name val="Arial"/>
      <family val="0"/>
      <charset val="1"/>
    </font>
  </fonts>
  <fills count="5">
    <fill>
      <patternFill patternType="none"/>
    </fill>
    <fill>
      <patternFill patternType="gray125"/>
    </fill>
    <fill>
      <patternFill patternType="solid">
        <fgColor rgb="FF1F4E5F"/>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7" fontId="8"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7" fontId="9" fillId="4" borderId="1"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5F"/>
          <bgColor rgb="FF000000"/>
        </patternFill>
      </fill>
    </dxf>
    <dxf>
      <fill>
        <patternFill patternType="solid">
          <fgColor rgb="FFF2F2F2"/>
          <bgColor rgb="FF000000"/>
        </patternFill>
      </fill>
    </dxf>
    <dxf>
      <fill>
        <patternFill patternType="solid">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0000FF"/>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35.05" hidden="false" customHeight="false" outlineLevel="0" collapsed="false">
      <c r="A5" s="2"/>
      <c r="B5" s="3" t="s">
        <v>5</v>
      </c>
    </row>
    <row r="6" customFormat="false" ht="23.85" hidden="false" customHeight="false" outlineLevel="0" collapsed="false">
      <c r="A6" s="2"/>
      <c r="B6" s="3" t="s">
        <v>6</v>
      </c>
    </row>
    <row r="7" customFormat="false" ht="23.85" hidden="false" customHeight="false" outlineLevel="0" collapsed="false">
      <c r="A7" s="2"/>
      <c r="B7" s="3" t="s">
        <v>7</v>
      </c>
    </row>
    <row r="8" customFormat="false" ht="35.05" hidden="false" customHeight="false" outlineLevel="0" collapsed="false">
      <c r="A8" s="2"/>
      <c r="B8" s="3" t="s">
        <v>8</v>
      </c>
    </row>
    <row r="9" customFormat="false" ht="35.05" hidden="false" customHeight="false" outlineLevel="0" collapsed="false">
      <c r="A9" s="2" t="s">
        <v>9</v>
      </c>
      <c r="B9" s="3" t="s">
        <v>10</v>
      </c>
    </row>
    <row r="10" customFormat="false" ht="23.85" hidden="false" customHeight="false" outlineLevel="0" collapsed="false">
      <c r="A10" s="2"/>
      <c r="B10" s="3" t="s">
        <v>11</v>
      </c>
    </row>
    <row r="11" customFormat="false" ht="15" hidden="false" customHeight="false" outlineLevel="0" collapsed="false">
      <c r="A11" s="2" t="s">
        <v>12</v>
      </c>
      <c r="B11" s="3" t="s">
        <v>13</v>
      </c>
    </row>
    <row r="12" customFormat="false" ht="15" hidden="false" customHeight="false" outlineLevel="0" collapsed="false">
      <c r="A12" s="2" t="s">
        <v>14</v>
      </c>
      <c r="B12" s="3" t="s">
        <v>15</v>
      </c>
    </row>
    <row r="13" customFormat="false" ht="15" hidden="false" customHeight="false" outlineLevel="0" collapsed="false">
      <c r="A13" s="2"/>
    </row>
    <row r="14" customFormat="false" ht="15" hidden="false" customHeight="false" outlineLevel="0" collapsed="false">
      <c r="A14" s="2" t="s">
        <v>16</v>
      </c>
    </row>
    <row r="15" customFormat="false" ht="15" hidden="false" customHeight="false" outlineLevel="0" collapsed="false">
      <c r="A15" s="4" t="s">
        <v>17</v>
      </c>
      <c r="B15" s="5" t="n">
        <f aca="false">COUNTA(Prices!A3:A192)</f>
        <v>190</v>
      </c>
    </row>
    <row r="16" customFormat="false" ht="15" hidden="false" customHeight="false" outlineLevel="0" collapsed="false">
      <c r="A16" s="4" t="s">
        <v>18</v>
      </c>
      <c r="B16" s="5" t="n">
        <f aca="false">COUNT(Prices!I3:I192)</f>
        <v>187</v>
      </c>
    </row>
    <row r="17" customFormat="false" ht="15" hidden="false" customHeight="false" outlineLevel="0" collapsed="false">
      <c r="A17" s="4" t="s">
        <v>19</v>
      </c>
      <c r="B17" s="5" t="n">
        <f aca="false">COUNTIF(Prices!D3:D192,"Shop*")</f>
        <v>116</v>
      </c>
    </row>
    <row r="18" customFormat="false" ht="15" hidden="false" customHeight="false" outlineLevel="0" collapsed="false">
      <c r="A18" s="4" t="s">
        <v>20</v>
      </c>
      <c r="B18" s="5" t="n">
        <f aca="false">COUNTIF(Prices!D3:D192,"ONS*")</f>
        <v>70</v>
      </c>
    </row>
    <row r="19" customFormat="false" ht="15" hidden="false" customHeight="false" outlineLevel="0" collapsed="false">
      <c r="A19" s="4" t="s">
        <v>21</v>
      </c>
      <c r="B19" s="5" t="n">
        <f aca="false">COUNTIF(Prices!D3:D192,"No price yet")</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6" width="12"/>
    <col collapsed="false" customWidth="true" hidden="false" outlineLevel="0" max="2" min="2" style="6" width="42"/>
    <col collapsed="false" customWidth="true" hidden="false" outlineLevel="0" max="3" min="3" style="6" width="30"/>
    <col collapsed="false" customWidth="true" hidden="false" outlineLevel="0" max="4" min="4" style="6" width="22"/>
    <col collapsed="false" customWidth="true" hidden="false" outlineLevel="0" max="5" min="5" style="6" width="26"/>
    <col collapsed="false" customWidth="true" hidden="false" outlineLevel="0" max="6" min="6" style="6" width="40"/>
    <col collapsed="false" customWidth="true" hidden="false" outlineLevel="0" max="7" min="7" style="6" width="13"/>
    <col collapsed="false" customWidth="true" hidden="false" outlineLevel="0" max="10" min="8" style="6" width="14"/>
    <col collapsed="false" customWidth="true" hidden="false" outlineLevel="0" max="11" min="11" style="6" width="13"/>
    <col collapsed="false" customWidth="true" hidden="false" outlineLevel="0" max="12" min="12" style="6" width="60"/>
  </cols>
  <sheetData>
    <row r="1" customFormat="false" ht="30" hidden="false" customHeight="true" outlineLevel="0" collapsed="false">
      <c r="A1" s="7" t="s">
        <v>22</v>
      </c>
      <c r="B1" s="7" t="s">
        <v>23</v>
      </c>
      <c r="C1" s="7" t="s">
        <v>24</v>
      </c>
      <c r="D1" s="7" t="s">
        <v>25</v>
      </c>
      <c r="E1" s="7" t="s">
        <v>26</v>
      </c>
      <c r="F1" s="7" t="s">
        <v>27</v>
      </c>
      <c r="G1" s="7" t="s">
        <v>28</v>
      </c>
      <c r="H1" s="7" t="s">
        <v>29</v>
      </c>
      <c r="I1" s="7" t="s">
        <v>30</v>
      </c>
      <c r="J1" s="7" t="s">
        <v>31</v>
      </c>
      <c r="K1" s="7" t="s">
        <v>32</v>
      </c>
      <c r="L1" s="7" t="s">
        <v>33</v>
      </c>
    </row>
    <row r="2" customFormat="false" ht="15" hidden="false" customHeight="true" outlineLevel="0" collapsed="false">
      <c r="A2" s="8" t="s">
        <v>34</v>
      </c>
      <c r="B2" s="9" t="s">
        <v>35</v>
      </c>
      <c r="C2" s="9" t="s">
        <v>36</v>
      </c>
      <c r="D2" s="8" t="s">
        <v>37</v>
      </c>
      <c r="E2" s="8" t="s">
        <v>38</v>
      </c>
      <c r="F2" s="9" t="s">
        <v>39</v>
      </c>
      <c r="G2" s="10" t="n">
        <v>1.1</v>
      </c>
      <c r="H2" s="11" t="n">
        <v>500</v>
      </c>
      <c r="I2" s="10" t="n">
        <f aca="false">IF(AND(ISNUMBER(G2),ISNUMBER(H2),H2&gt;0),G2/H2*1000,"")</f>
        <v>2.2</v>
      </c>
      <c r="J2" s="8" t="s">
        <v>40</v>
      </c>
      <c r="K2" s="8" t="s">
        <v>41</v>
      </c>
      <c r="L2" s="9" t="s">
        <v>42</v>
      </c>
    </row>
    <row r="3" customFormat="false" ht="15" hidden="false" customHeight="true" outlineLevel="0" collapsed="false">
      <c r="A3" s="12" t="s">
        <v>43</v>
      </c>
      <c r="B3" s="13" t="s">
        <v>44</v>
      </c>
      <c r="C3" s="13" t="s">
        <v>45</v>
      </c>
      <c r="D3" s="12" t="s">
        <v>46</v>
      </c>
      <c r="E3" s="14" t="s">
        <v>47</v>
      </c>
      <c r="F3" s="15" t="s">
        <v>48</v>
      </c>
      <c r="G3" s="16" t="n">
        <v>1.52</v>
      </c>
      <c r="H3" s="17" t="n">
        <v>1000</v>
      </c>
      <c r="I3" s="18" t="n">
        <f aca="false">IF(AND(ISNUMBER(G3),ISNUMBER(H3),H3&gt;0),G3/H3*1000,"")</f>
        <v>1.52</v>
      </c>
      <c r="J3" s="14" t="s">
        <v>49</v>
      </c>
      <c r="K3" s="14" t="s">
        <v>50</v>
      </c>
      <c r="L3" s="13" t="s">
        <v>51</v>
      </c>
    </row>
    <row r="4" customFormat="false" ht="15" hidden="false" customHeight="true" outlineLevel="0" collapsed="false">
      <c r="A4" s="12" t="s">
        <v>52</v>
      </c>
      <c r="B4" s="13" t="s">
        <v>53</v>
      </c>
      <c r="C4" s="13" t="s">
        <v>54</v>
      </c>
      <c r="D4" s="12" t="s">
        <v>46</v>
      </c>
      <c r="E4" s="14" t="s">
        <v>47</v>
      </c>
      <c r="F4" s="15" t="s">
        <v>48</v>
      </c>
      <c r="G4" s="16" t="n">
        <v>1.39</v>
      </c>
      <c r="H4" s="17" t="n">
        <v>1000</v>
      </c>
      <c r="I4" s="18" t="n">
        <f aca="false">IF(AND(ISNUMBER(G4),ISNUMBER(H4),H4&gt;0),G4/H4*1000,"")</f>
        <v>1.39</v>
      </c>
      <c r="J4" s="14" t="s">
        <v>49</v>
      </c>
      <c r="K4" s="14" t="s">
        <v>50</v>
      </c>
      <c r="L4" s="13" t="s">
        <v>55</v>
      </c>
    </row>
    <row r="5" customFormat="false" ht="15" hidden="false" customHeight="true" outlineLevel="0" collapsed="false">
      <c r="A5" s="12" t="s">
        <v>56</v>
      </c>
      <c r="B5" s="13" t="s">
        <v>57</v>
      </c>
      <c r="C5" s="13" t="s">
        <v>58</v>
      </c>
      <c r="D5" s="12" t="s">
        <v>46</v>
      </c>
      <c r="E5" s="14" t="s">
        <v>47</v>
      </c>
      <c r="F5" s="15" t="s">
        <v>48</v>
      </c>
      <c r="G5" s="16" t="n">
        <v>4.6</v>
      </c>
      <c r="H5" s="17" t="n">
        <v>1000</v>
      </c>
      <c r="I5" s="18" t="n">
        <f aca="false">IF(AND(ISNUMBER(G5),ISNUMBER(H5),H5&gt;0),G5/H5*1000,"")</f>
        <v>4.6</v>
      </c>
      <c r="J5" s="14" t="s">
        <v>49</v>
      </c>
      <c r="K5" s="14" t="s">
        <v>50</v>
      </c>
      <c r="L5" s="13" t="s">
        <v>59</v>
      </c>
    </row>
    <row r="6" customFormat="false" ht="15" hidden="false" customHeight="true" outlineLevel="0" collapsed="false">
      <c r="A6" s="12" t="s">
        <v>60</v>
      </c>
      <c r="B6" s="13" t="s">
        <v>61</v>
      </c>
      <c r="C6" s="13" t="s">
        <v>62</v>
      </c>
      <c r="D6" s="12" t="s">
        <v>46</v>
      </c>
      <c r="E6" s="14" t="s">
        <v>47</v>
      </c>
      <c r="F6" s="15" t="s">
        <v>48</v>
      </c>
      <c r="G6" s="16" t="n">
        <v>1.34</v>
      </c>
      <c r="H6" s="17" t="n">
        <v>1000</v>
      </c>
      <c r="I6" s="18" t="n">
        <f aca="false">IF(AND(ISNUMBER(G6),ISNUMBER(H6),H6&gt;0),G6/H6*1000,"")</f>
        <v>1.34</v>
      </c>
      <c r="J6" s="14" t="s">
        <v>49</v>
      </c>
      <c r="K6" s="14" t="s">
        <v>50</v>
      </c>
      <c r="L6" s="13" t="s">
        <v>63</v>
      </c>
    </row>
    <row r="7" customFormat="false" ht="15" hidden="false" customHeight="true" outlineLevel="0" collapsed="false">
      <c r="A7" s="12" t="s">
        <v>64</v>
      </c>
      <c r="B7" s="13" t="s">
        <v>65</v>
      </c>
      <c r="C7" s="13" t="s">
        <v>66</v>
      </c>
      <c r="D7" s="12" t="s">
        <v>46</v>
      </c>
      <c r="E7" s="14" t="s">
        <v>47</v>
      </c>
      <c r="F7" s="15" t="s">
        <v>48</v>
      </c>
      <c r="G7" s="16" t="n">
        <v>3.69</v>
      </c>
      <c r="H7" s="17" t="n">
        <v>1000</v>
      </c>
      <c r="I7" s="18" t="n">
        <f aca="false">IF(AND(ISNUMBER(G7),ISNUMBER(H7),H7&gt;0),G7/H7*1000,"")</f>
        <v>3.69</v>
      </c>
      <c r="J7" s="14" t="s">
        <v>49</v>
      </c>
      <c r="K7" s="14" t="s">
        <v>50</v>
      </c>
      <c r="L7" s="13" t="s">
        <v>67</v>
      </c>
    </row>
    <row r="8" customFormat="false" ht="15" hidden="false" customHeight="true" outlineLevel="0" collapsed="false">
      <c r="A8" s="12" t="s">
        <v>68</v>
      </c>
      <c r="B8" s="13" t="s">
        <v>69</v>
      </c>
      <c r="C8" s="13" t="s">
        <v>70</v>
      </c>
      <c r="D8" s="12" t="s">
        <v>46</v>
      </c>
      <c r="E8" s="14" t="s">
        <v>47</v>
      </c>
      <c r="F8" s="15" t="s">
        <v>48</v>
      </c>
      <c r="G8" s="16" t="n">
        <v>1.39</v>
      </c>
      <c r="H8" s="17" t="n">
        <v>1000</v>
      </c>
      <c r="I8" s="18" t="n">
        <f aca="false">IF(AND(ISNUMBER(G8),ISNUMBER(H8),H8&gt;0),G8/H8*1000,"")</f>
        <v>1.39</v>
      </c>
      <c r="J8" s="14" t="s">
        <v>49</v>
      </c>
      <c r="K8" s="14" t="s">
        <v>50</v>
      </c>
      <c r="L8" s="13" t="s">
        <v>71</v>
      </c>
    </row>
    <row r="9" customFormat="false" ht="23.25" hidden="false" customHeight="true" outlineLevel="0" collapsed="false">
      <c r="A9" s="12" t="s">
        <v>72</v>
      </c>
      <c r="B9" s="13" t="s">
        <v>73</v>
      </c>
      <c r="C9" s="13" t="s">
        <v>74</v>
      </c>
      <c r="D9" s="12" t="s">
        <v>46</v>
      </c>
      <c r="E9" s="14" t="s">
        <v>47</v>
      </c>
      <c r="F9" s="15" t="s">
        <v>48</v>
      </c>
      <c r="G9" s="16" t="n">
        <v>2.3</v>
      </c>
      <c r="H9" s="17" t="n">
        <v>1000</v>
      </c>
      <c r="I9" s="18" t="n">
        <f aca="false">IF(AND(ISNUMBER(G9),ISNUMBER(H9),H9&gt;0),G9/H9*1000,"")</f>
        <v>2.3</v>
      </c>
      <c r="J9" s="14" t="s">
        <v>49</v>
      </c>
      <c r="K9" s="14" t="s">
        <v>50</v>
      </c>
      <c r="L9" s="13" t="s">
        <v>75</v>
      </c>
    </row>
    <row r="10" customFormat="false" ht="15" hidden="false" customHeight="true" outlineLevel="0" collapsed="false">
      <c r="A10" s="12" t="s">
        <v>76</v>
      </c>
      <c r="B10" s="13" t="s">
        <v>77</v>
      </c>
      <c r="C10" s="13" t="s">
        <v>78</v>
      </c>
      <c r="D10" s="12" t="s">
        <v>79</v>
      </c>
      <c r="E10" s="14" t="s">
        <v>80</v>
      </c>
      <c r="F10" s="15" t="s">
        <v>81</v>
      </c>
      <c r="G10" s="19" t="n">
        <v>1.15</v>
      </c>
      <c r="H10" s="17" t="n">
        <v>1136</v>
      </c>
      <c r="I10" s="18" t="n">
        <f aca="false">IF(AND(ISNUMBER(G10),ISNUMBER(H10),H10&gt;0),G10/H10*1000,"")</f>
        <v>1.01232394366197</v>
      </c>
      <c r="J10" s="14"/>
      <c r="K10" s="14"/>
      <c r="L10" s="13" t="s">
        <v>82</v>
      </c>
    </row>
    <row r="11" customFormat="false" ht="15" hidden="false" customHeight="true" outlineLevel="0" collapsed="false">
      <c r="A11" s="12" t="s">
        <v>83</v>
      </c>
      <c r="B11" s="13" t="s">
        <v>84</v>
      </c>
      <c r="C11" s="13" t="s">
        <v>85</v>
      </c>
      <c r="D11" s="12" t="s">
        <v>46</v>
      </c>
      <c r="E11" s="14" t="s">
        <v>47</v>
      </c>
      <c r="F11" s="15" t="s">
        <v>48</v>
      </c>
      <c r="G11" s="16" t="n">
        <v>7.56</v>
      </c>
      <c r="H11" s="17" t="n">
        <v>1000</v>
      </c>
      <c r="I11" s="18" t="n">
        <f aca="false">IF(AND(ISNUMBER(G11),ISNUMBER(H11),H11&gt;0),G11/H11*1000,"")</f>
        <v>7.56</v>
      </c>
      <c r="J11" s="14" t="s">
        <v>49</v>
      </c>
      <c r="K11" s="14" t="s">
        <v>50</v>
      </c>
      <c r="L11" s="13" t="s">
        <v>86</v>
      </c>
    </row>
    <row r="12" customFormat="false" ht="15" hidden="false" customHeight="true" outlineLevel="0" collapsed="false">
      <c r="A12" s="12" t="s">
        <v>87</v>
      </c>
      <c r="B12" s="13" t="s">
        <v>88</v>
      </c>
      <c r="C12" s="13" t="s">
        <v>89</v>
      </c>
      <c r="D12" s="12" t="s">
        <v>46</v>
      </c>
      <c r="E12" s="14" t="s">
        <v>47</v>
      </c>
      <c r="F12" s="15" t="s">
        <v>48</v>
      </c>
      <c r="G12" s="16" t="n">
        <v>2.83</v>
      </c>
      <c r="H12" s="17" t="n">
        <v>1000</v>
      </c>
      <c r="I12" s="18" t="n">
        <f aca="false">IF(AND(ISNUMBER(G12),ISNUMBER(H12),H12&gt;0),G12/H12*1000,"")</f>
        <v>2.83</v>
      </c>
      <c r="J12" s="14" t="s">
        <v>49</v>
      </c>
      <c r="K12" s="14" t="s">
        <v>50</v>
      </c>
      <c r="L12" s="13" t="s">
        <v>90</v>
      </c>
    </row>
    <row r="13" customFormat="false" ht="15" hidden="false" customHeight="true" outlineLevel="0" collapsed="false">
      <c r="A13" s="12" t="s">
        <v>91</v>
      </c>
      <c r="B13" s="13" t="s">
        <v>92</v>
      </c>
      <c r="C13" s="13" t="s">
        <v>93</v>
      </c>
      <c r="D13" s="12" t="s">
        <v>46</v>
      </c>
      <c r="E13" s="14" t="s">
        <v>47</v>
      </c>
      <c r="F13" s="15" t="s">
        <v>48</v>
      </c>
      <c r="G13" s="16" t="n">
        <v>8.4</v>
      </c>
      <c r="H13" s="17" t="n">
        <v>1000</v>
      </c>
      <c r="I13" s="18" t="n">
        <f aca="false">IF(AND(ISNUMBER(G13),ISNUMBER(H13),H13&gt;0),G13/H13*1000,"")</f>
        <v>8.4</v>
      </c>
      <c r="J13" s="14" t="s">
        <v>49</v>
      </c>
      <c r="K13" s="14" t="s">
        <v>50</v>
      </c>
      <c r="L13" s="13" t="s">
        <v>94</v>
      </c>
    </row>
    <row r="14" customFormat="false" ht="15" hidden="false" customHeight="true" outlineLevel="0" collapsed="false">
      <c r="A14" s="12" t="s">
        <v>95</v>
      </c>
      <c r="B14" s="13" t="s">
        <v>96</v>
      </c>
      <c r="C14" s="13" t="s">
        <v>97</v>
      </c>
      <c r="D14" s="12" t="s">
        <v>46</v>
      </c>
      <c r="E14" s="14" t="s">
        <v>47</v>
      </c>
      <c r="F14" s="15" t="s">
        <v>48</v>
      </c>
      <c r="G14" s="16" t="n">
        <v>1.9</v>
      </c>
      <c r="H14" s="17" t="n">
        <v>1000</v>
      </c>
      <c r="I14" s="18" t="n">
        <f aca="false">IF(AND(ISNUMBER(G14),ISNUMBER(H14),H14&gt;0),G14/H14*1000,"")</f>
        <v>1.9</v>
      </c>
      <c r="J14" s="14" t="s">
        <v>49</v>
      </c>
      <c r="K14" s="14" t="s">
        <v>50</v>
      </c>
      <c r="L14" s="13" t="s">
        <v>98</v>
      </c>
    </row>
    <row r="15" customFormat="false" ht="15" hidden="false" customHeight="true" outlineLevel="0" collapsed="false">
      <c r="A15" s="12" t="s">
        <v>99</v>
      </c>
      <c r="B15" s="13" t="s">
        <v>100</v>
      </c>
      <c r="C15" s="13" t="s">
        <v>101</v>
      </c>
      <c r="D15" s="12" t="s">
        <v>46</v>
      </c>
      <c r="E15" s="14" t="s">
        <v>102</v>
      </c>
      <c r="F15" s="15" t="s">
        <v>48</v>
      </c>
      <c r="G15" s="16" t="n">
        <v>9</v>
      </c>
      <c r="H15" s="17" t="n">
        <v>1000</v>
      </c>
      <c r="I15" s="18" t="n">
        <f aca="false">IF(AND(ISNUMBER(G15),ISNUMBER(H15),H15&gt;0),G15/H15*1000,"")</f>
        <v>9</v>
      </c>
      <c r="J15" s="14" t="s">
        <v>103</v>
      </c>
      <c r="K15" s="14" t="s">
        <v>50</v>
      </c>
      <c r="L15" s="13" t="s">
        <v>104</v>
      </c>
    </row>
    <row r="16" customFormat="false" ht="23.25" hidden="false" customHeight="true" outlineLevel="0" collapsed="false">
      <c r="A16" s="12" t="s">
        <v>105</v>
      </c>
      <c r="B16" s="13" t="s">
        <v>106</v>
      </c>
      <c r="C16" s="13" t="s">
        <v>107</v>
      </c>
      <c r="D16" s="12" t="s">
        <v>46</v>
      </c>
      <c r="E16" s="14" t="s">
        <v>47</v>
      </c>
      <c r="F16" s="15" t="s">
        <v>48</v>
      </c>
      <c r="G16" s="16" t="n">
        <v>1.25</v>
      </c>
      <c r="H16" s="17" t="n">
        <v>1000</v>
      </c>
      <c r="I16" s="18" t="n">
        <f aca="false">IF(AND(ISNUMBER(G16),ISNUMBER(H16),H16&gt;0),G16/H16*1000,"")</f>
        <v>1.25</v>
      </c>
      <c r="J16" s="14" t="s">
        <v>49</v>
      </c>
      <c r="K16" s="14" t="s">
        <v>50</v>
      </c>
      <c r="L16" s="13" t="s">
        <v>108</v>
      </c>
    </row>
    <row r="17" customFormat="false" ht="15" hidden="false" customHeight="true" outlineLevel="0" collapsed="false">
      <c r="A17" s="12" t="s">
        <v>109</v>
      </c>
      <c r="B17" s="13" t="s">
        <v>110</v>
      </c>
      <c r="C17" s="13" t="s">
        <v>111</v>
      </c>
      <c r="D17" s="12" t="s">
        <v>46</v>
      </c>
      <c r="E17" s="14" t="s">
        <v>47</v>
      </c>
      <c r="F17" s="15" t="s">
        <v>48</v>
      </c>
      <c r="G17" s="16" t="n">
        <v>11.25</v>
      </c>
      <c r="H17" s="17" t="n">
        <v>1000</v>
      </c>
      <c r="I17" s="18" t="n">
        <f aca="false">IF(AND(ISNUMBER(G17),ISNUMBER(H17),H17&gt;0),G17/H17*1000,"")</f>
        <v>11.25</v>
      </c>
      <c r="J17" s="14" t="s">
        <v>49</v>
      </c>
      <c r="K17" s="14" t="s">
        <v>50</v>
      </c>
      <c r="L17" s="13" t="s">
        <v>112</v>
      </c>
    </row>
    <row r="18" customFormat="false" ht="15" hidden="false" customHeight="true" outlineLevel="0" collapsed="false">
      <c r="A18" s="12" t="s">
        <v>113</v>
      </c>
      <c r="B18" s="13" t="s">
        <v>114</v>
      </c>
      <c r="C18" s="13" t="s">
        <v>115</v>
      </c>
      <c r="D18" s="12" t="s">
        <v>46</v>
      </c>
      <c r="E18" s="14" t="s">
        <v>47</v>
      </c>
      <c r="F18" s="15" t="s">
        <v>48</v>
      </c>
      <c r="G18" s="16" t="n">
        <v>14.59</v>
      </c>
      <c r="H18" s="17" t="n">
        <v>1000</v>
      </c>
      <c r="I18" s="18" t="n">
        <f aca="false">IF(AND(ISNUMBER(G18),ISNUMBER(H18),H18&gt;0),G18/H18*1000,"")</f>
        <v>14.59</v>
      </c>
      <c r="J18" s="14" t="s">
        <v>49</v>
      </c>
      <c r="K18" s="14" t="s">
        <v>50</v>
      </c>
      <c r="L18" s="13" t="s">
        <v>116</v>
      </c>
    </row>
    <row r="19" customFormat="false" ht="15" hidden="false" customHeight="true" outlineLevel="0" collapsed="false">
      <c r="A19" s="12" t="s">
        <v>117</v>
      </c>
      <c r="B19" s="13" t="s">
        <v>118</v>
      </c>
      <c r="C19" s="13" t="s">
        <v>119</v>
      </c>
      <c r="D19" s="12" t="s">
        <v>46</v>
      </c>
      <c r="E19" s="14" t="s">
        <v>47</v>
      </c>
      <c r="F19" s="15" t="s">
        <v>48</v>
      </c>
      <c r="G19" s="16" t="n">
        <v>2.3</v>
      </c>
      <c r="H19" s="17" t="n">
        <v>1000</v>
      </c>
      <c r="I19" s="18" t="n">
        <f aca="false">IF(AND(ISNUMBER(G19),ISNUMBER(H19),H19&gt;0),G19/H19*1000,"")</f>
        <v>2.3</v>
      </c>
      <c r="J19" s="14" t="s">
        <v>49</v>
      </c>
      <c r="K19" s="14" t="s">
        <v>50</v>
      </c>
      <c r="L19" s="13" t="s">
        <v>75</v>
      </c>
    </row>
    <row r="20" customFormat="false" ht="15" hidden="false" customHeight="true" outlineLevel="0" collapsed="false">
      <c r="A20" s="12" t="s">
        <v>120</v>
      </c>
      <c r="B20" s="13" t="s">
        <v>121</v>
      </c>
      <c r="C20" s="13" t="s">
        <v>122</v>
      </c>
      <c r="D20" s="12" t="s">
        <v>46</v>
      </c>
      <c r="E20" s="14" t="s">
        <v>47</v>
      </c>
      <c r="F20" s="15" t="s">
        <v>48</v>
      </c>
      <c r="G20" s="16" t="n">
        <v>3.01</v>
      </c>
      <c r="H20" s="17" t="n">
        <v>1000</v>
      </c>
      <c r="I20" s="18" t="n">
        <f aca="false">IF(AND(ISNUMBER(G20),ISNUMBER(H20),H20&gt;0),G20/H20*1000,"")</f>
        <v>3.01</v>
      </c>
      <c r="J20" s="14" t="s">
        <v>49</v>
      </c>
      <c r="K20" s="14" t="s">
        <v>50</v>
      </c>
      <c r="L20" s="13" t="s">
        <v>123</v>
      </c>
    </row>
    <row r="21" customFormat="false" ht="15" hidden="false" customHeight="true" outlineLevel="0" collapsed="false">
      <c r="A21" s="12" t="s">
        <v>124</v>
      </c>
      <c r="B21" s="13" t="s">
        <v>125</v>
      </c>
      <c r="C21" s="13" t="s">
        <v>126</v>
      </c>
      <c r="D21" s="12" t="s">
        <v>46</v>
      </c>
      <c r="E21" s="14" t="s">
        <v>47</v>
      </c>
      <c r="F21" s="15" t="s">
        <v>48</v>
      </c>
      <c r="G21" s="16" t="n">
        <v>4.17</v>
      </c>
      <c r="H21" s="17" t="n">
        <v>1000</v>
      </c>
      <c r="I21" s="18" t="n">
        <f aca="false">IF(AND(ISNUMBER(G21),ISNUMBER(H21),H21&gt;0),G21/H21*1000,"")</f>
        <v>4.17</v>
      </c>
      <c r="J21" s="14" t="s">
        <v>49</v>
      </c>
      <c r="K21" s="14" t="s">
        <v>50</v>
      </c>
      <c r="L21" s="13" t="s">
        <v>127</v>
      </c>
    </row>
    <row r="22" customFormat="false" ht="15" hidden="false" customHeight="true" outlineLevel="0" collapsed="false">
      <c r="A22" s="12" t="s">
        <v>128</v>
      </c>
      <c r="B22" s="13" t="s">
        <v>129</v>
      </c>
      <c r="C22" s="13" t="s">
        <v>130</v>
      </c>
      <c r="D22" s="12" t="s">
        <v>46</v>
      </c>
      <c r="E22" s="14" t="s">
        <v>102</v>
      </c>
      <c r="F22" s="15" t="s">
        <v>48</v>
      </c>
      <c r="G22" s="16" t="n">
        <v>1.73</v>
      </c>
      <c r="H22" s="17" t="n">
        <v>1000</v>
      </c>
      <c r="I22" s="18" t="n">
        <f aca="false">IF(AND(ISNUMBER(G22),ISNUMBER(H22),H22&gt;0),G22/H22*1000,"")</f>
        <v>1.73</v>
      </c>
      <c r="J22" s="14" t="s">
        <v>131</v>
      </c>
      <c r="K22" s="14" t="s">
        <v>50</v>
      </c>
      <c r="L22" s="13" t="s">
        <v>132</v>
      </c>
    </row>
    <row r="23" customFormat="false" ht="15" hidden="false" customHeight="true" outlineLevel="0" collapsed="false">
      <c r="A23" s="12" t="s">
        <v>133</v>
      </c>
      <c r="B23" s="13" t="s">
        <v>134</v>
      </c>
      <c r="C23" s="13" t="s">
        <v>135</v>
      </c>
      <c r="D23" s="20" t="s">
        <v>136</v>
      </c>
      <c r="E23" s="14" t="s">
        <v>38</v>
      </c>
      <c r="F23" s="15"/>
      <c r="G23" s="21"/>
      <c r="H23" s="22"/>
      <c r="I23" s="18" t="str">
        <f aca="false">IF(AND(ISNUMBER(G23),ISNUMBER(H23),H23&gt;0),G23/H23*1000,"")</f>
        <v/>
      </c>
      <c r="J23" s="14"/>
      <c r="K23" s="14"/>
      <c r="L23" s="13" t="s">
        <v>137</v>
      </c>
    </row>
    <row r="24" customFormat="false" ht="15" hidden="false" customHeight="true" outlineLevel="0" collapsed="false">
      <c r="A24" s="12" t="s">
        <v>138</v>
      </c>
      <c r="B24" s="13" t="s">
        <v>139</v>
      </c>
      <c r="C24" s="13" t="s">
        <v>140</v>
      </c>
      <c r="D24" s="12" t="s">
        <v>46</v>
      </c>
      <c r="E24" s="14" t="s">
        <v>47</v>
      </c>
      <c r="F24" s="15" t="s">
        <v>48</v>
      </c>
      <c r="G24" s="16" t="n">
        <v>1.06</v>
      </c>
      <c r="H24" s="17" t="n">
        <v>1000</v>
      </c>
      <c r="I24" s="18" t="n">
        <f aca="false">IF(AND(ISNUMBER(G24),ISNUMBER(H24),H24&gt;0),G24/H24*1000,"")</f>
        <v>1.06</v>
      </c>
      <c r="J24" s="14" t="s">
        <v>49</v>
      </c>
      <c r="K24" s="14" t="s">
        <v>50</v>
      </c>
      <c r="L24" s="13" t="s">
        <v>141</v>
      </c>
    </row>
    <row r="25" customFormat="false" ht="15" hidden="false" customHeight="true" outlineLevel="0" collapsed="false">
      <c r="A25" s="12" t="s">
        <v>142</v>
      </c>
      <c r="B25" s="13" t="s">
        <v>143</v>
      </c>
      <c r="C25" s="13" t="s">
        <v>144</v>
      </c>
      <c r="D25" s="12" t="s">
        <v>46</v>
      </c>
      <c r="E25" s="14" t="s">
        <v>102</v>
      </c>
      <c r="F25" s="15" t="s">
        <v>48</v>
      </c>
      <c r="G25" s="16" t="n">
        <v>4.46</v>
      </c>
      <c r="H25" s="17" t="n">
        <v>1000</v>
      </c>
      <c r="I25" s="18" t="n">
        <f aca="false">IF(AND(ISNUMBER(G25),ISNUMBER(H25),H25&gt;0),G25/H25*1000,"")</f>
        <v>4.46</v>
      </c>
      <c r="J25" s="14" t="s">
        <v>103</v>
      </c>
      <c r="K25" s="14" t="s">
        <v>50</v>
      </c>
      <c r="L25" s="13" t="s">
        <v>145</v>
      </c>
    </row>
    <row r="26" customFormat="false" ht="15" hidden="false" customHeight="true" outlineLevel="0" collapsed="false">
      <c r="A26" s="12" t="s">
        <v>146</v>
      </c>
      <c r="B26" s="13" t="s">
        <v>147</v>
      </c>
      <c r="C26" s="13" t="s">
        <v>148</v>
      </c>
      <c r="D26" s="20" t="s">
        <v>136</v>
      </c>
      <c r="E26" s="14" t="s">
        <v>38</v>
      </c>
      <c r="F26" s="15"/>
      <c r="G26" s="21"/>
      <c r="H26" s="22"/>
      <c r="I26" s="18" t="str">
        <f aca="false">IF(AND(ISNUMBER(G26),ISNUMBER(H26),H26&gt;0),G26/H26*1000,"")</f>
        <v/>
      </c>
      <c r="J26" s="14"/>
      <c r="K26" s="14"/>
      <c r="L26" s="13" t="s">
        <v>149</v>
      </c>
    </row>
    <row r="27" customFormat="false" ht="15" hidden="false" customHeight="true" outlineLevel="0" collapsed="false">
      <c r="A27" s="12" t="s">
        <v>150</v>
      </c>
      <c r="B27" s="13" t="s">
        <v>151</v>
      </c>
      <c r="C27" s="13" t="s">
        <v>152</v>
      </c>
      <c r="D27" s="12" t="s">
        <v>46</v>
      </c>
      <c r="E27" s="14" t="s">
        <v>102</v>
      </c>
      <c r="F27" s="15" t="s">
        <v>48</v>
      </c>
      <c r="G27" s="16" t="n">
        <v>9.38</v>
      </c>
      <c r="H27" s="17" t="n">
        <v>1000</v>
      </c>
      <c r="I27" s="18" t="n">
        <f aca="false">IF(AND(ISNUMBER(G27),ISNUMBER(H27),H27&gt;0),G27/H27*1000,"")</f>
        <v>9.38</v>
      </c>
      <c r="J27" s="14" t="s">
        <v>131</v>
      </c>
      <c r="K27" s="14" t="s">
        <v>50</v>
      </c>
      <c r="L27" s="13" t="s">
        <v>153</v>
      </c>
    </row>
    <row r="28" customFormat="false" ht="15" hidden="false" customHeight="true" outlineLevel="0" collapsed="false">
      <c r="A28" s="12" t="s">
        <v>154</v>
      </c>
      <c r="B28" s="13" t="s">
        <v>155</v>
      </c>
      <c r="C28" s="13" t="s">
        <v>156</v>
      </c>
      <c r="D28" s="12" t="s">
        <v>46</v>
      </c>
      <c r="E28" s="14" t="s">
        <v>47</v>
      </c>
      <c r="F28" s="15" t="s">
        <v>48</v>
      </c>
      <c r="G28" s="16" t="n">
        <v>13.44</v>
      </c>
      <c r="H28" s="17" t="n">
        <v>1000</v>
      </c>
      <c r="I28" s="18" t="n">
        <f aca="false">IF(AND(ISNUMBER(G28),ISNUMBER(H28),H28&gt;0),G28/H28*1000,"")</f>
        <v>13.44</v>
      </c>
      <c r="J28" s="14" t="s">
        <v>49</v>
      </c>
      <c r="K28" s="14" t="s">
        <v>50</v>
      </c>
      <c r="L28" s="13" t="s">
        <v>157</v>
      </c>
    </row>
    <row r="29" customFormat="false" ht="15" hidden="false" customHeight="true" outlineLevel="0" collapsed="false">
      <c r="A29" s="12" t="s">
        <v>158</v>
      </c>
      <c r="B29" s="13" t="s">
        <v>159</v>
      </c>
      <c r="C29" s="13" t="s">
        <v>160</v>
      </c>
      <c r="D29" s="12" t="s">
        <v>46</v>
      </c>
      <c r="E29" s="14" t="s">
        <v>47</v>
      </c>
      <c r="F29" s="15" t="s">
        <v>48</v>
      </c>
      <c r="G29" s="16" t="n">
        <v>9.59</v>
      </c>
      <c r="H29" s="17" t="n">
        <v>1000</v>
      </c>
      <c r="I29" s="18" t="n">
        <f aca="false">IF(AND(ISNUMBER(G29),ISNUMBER(H29),H29&gt;0),G29/H29*1000,"")</f>
        <v>9.59</v>
      </c>
      <c r="J29" s="14" t="s">
        <v>49</v>
      </c>
      <c r="K29" s="14" t="s">
        <v>50</v>
      </c>
      <c r="L29" s="13" t="s">
        <v>161</v>
      </c>
    </row>
    <row r="30" customFormat="false" ht="15" hidden="false" customHeight="true" outlineLevel="0" collapsed="false">
      <c r="A30" s="12" t="s">
        <v>162</v>
      </c>
      <c r="B30" s="13" t="s">
        <v>163</v>
      </c>
      <c r="C30" s="13" t="s">
        <v>164</v>
      </c>
      <c r="D30" s="12" t="s">
        <v>46</v>
      </c>
      <c r="E30" s="14" t="s">
        <v>102</v>
      </c>
      <c r="F30" s="15" t="s">
        <v>48</v>
      </c>
      <c r="G30" s="16" t="n">
        <v>3.38</v>
      </c>
      <c r="H30" s="17" t="n">
        <v>1000</v>
      </c>
      <c r="I30" s="18" t="n">
        <f aca="false">IF(AND(ISNUMBER(G30),ISNUMBER(H30),H30&gt;0),G30/H30*1000,"")</f>
        <v>3.38</v>
      </c>
      <c r="J30" s="14" t="s">
        <v>165</v>
      </c>
      <c r="K30" s="14" t="s">
        <v>50</v>
      </c>
      <c r="L30" s="13" t="s">
        <v>166</v>
      </c>
    </row>
    <row r="31" customFormat="false" ht="15" hidden="false" customHeight="true" outlineLevel="0" collapsed="false">
      <c r="A31" s="12" t="s">
        <v>167</v>
      </c>
      <c r="B31" s="13" t="s">
        <v>168</v>
      </c>
      <c r="C31" s="13" t="s">
        <v>169</v>
      </c>
      <c r="D31" s="12" t="s">
        <v>46</v>
      </c>
      <c r="E31" s="14" t="s">
        <v>47</v>
      </c>
      <c r="F31" s="15" t="s">
        <v>48</v>
      </c>
      <c r="G31" s="16" t="n">
        <v>6.77</v>
      </c>
      <c r="H31" s="17" t="n">
        <v>1000</v>
      </c>
      <c r="I31" s="18" t="n">
        <f aca="false">IF(AND(ISNUMBER(G31),ISNUMBER(H31),H31&gt;0),G31/H31*1000,"")</f>
        <v>6.77</v>
      </c>
      <c r="J31" s="14" t="s">
        <v>49</v>
      </c>
      <c r="K31" s="14" t="s">
        <v>50</v>
      </c>
      <c r="L31" s="13" t="s">
        <v>170</v>
      </c>
    </row>
    <row r="32" customFormat="false" ht="15" hidden="false" customHeight="true" outlineLevel="0" collapsed="false">
      <c r="A32" s="12" t="s">
        <v>171</v>
      </c>
      <c r="B32" s="13" t="s">
        <v>172</v>
      </c>
      <c r="C32" s="13" t="s">
        <v>173</v>
      </c>
      <c r="D32" s="20" t="s">
        <v>136</v>
      </c>
      <c r="E32" s="14" t="s">
        <v>38</v>
      </c>
      <c r="F32" s="15"/>
      <c r="G32" s="21"/>
      <c r="H32" s="22"/>
      <c r="I32" s="18" t="str">
        <f aca="false">IF(AND(ISNUMBER(G32),ISNUMBER(H32),H32&gt;0),G32/H32*1000,"")</f>
        <v/>
      </c>
      <c r="J32" s="14"/>
      <c r="K32" s="14"/>
      <c r="L32" s="13" t="s">
        <v>174</v>
      </c>
    </row>
    <row r="33" customFormat="false" ht="15" hidden="false" customHeight="true" outlineLevel="0" collapsed="false">
      <c r="A33" s="12" t="s">
        <v>175</v>
      </c>
      <c r="B33" s="13" t="s">
        <v>176</v>
      </c>
      <c r="C33" s="13" t="s">
        <v>177</v>
      </c>
      <c r="D33" s="12" t="s">
        <v>46</v>
      </c>
      <c r="E33" s="14" t="s">
        <v>47</v>
      </c>
      <c r="F33" s="15" t="s">
        <v>48</v>
      </c>
      <c r="G33" s="16" t="n">
        <v>3.12</v>
      </c>
      <c r="H33" s="17" t="n">
        <v>1000</v>
      </c>
      <c r="I33" s="18" t="n">
        <f aca="false">IF(AND(ISNUMBER(G33),ISNUMBER(H33),H33&gt;0),G33/H33*1000,"")</f>
        <v>3.12</v>
      </c>
      <c r="J33" s="14" t="s">
        <v>49</v>
      </c>
      <c r="K33" s="14" t="s">
        <v>50</v>
      </c>
      <c r="L33" s="13" t="s">
        <v>178</v>
      </c>
    </row>
    <row r="34" customFormat="false" ht="15" hidden="false" customHeight="true" outlineLevel="0" collapsed="false">
      <c r="A34" s="12" t="s">
        <v>179</v>
      </c>
      <c r="B34" s="13" t="s">
        <v>180</v>
      </c>
      <c r="C34" s="13" t="s">
        <v>181</v>
      </c>
      <c r="D34" s="12" t="s">
        <v>46</v>
      </c>
      <c r="E34" s="14" t="s">
        <v>47</v>
      </c>
      <c r="F34" s="15" t="s">
        <v>48</v>
      </c>
      <c r="G34" s="16" t="n">
        <v>7.36</v>
      </c>
      <c r="H34" s="17" t="n">
        <v>1000</v>
      </c>
      <c r="I34" s="18" t="n">
        <f aca="false">IF(AND(ISNUMBER(G34),ISNUMBER(H34),H34&gt;0),G34/H34*1000,"")</f>
        <v>7.36</v>
      </c>
      <c r="J34" s="14" t="s">
        <v>49</v>
      </c>
      <c r="K34" s="14" t="s">
        <v>50</v>
      </c>
      <c r="L34" s="13" t="s">
        <v>182</v>
      </c>
    </row>
    <row r="35" customFormat="false" ht="15" hidden="false" customHeight="true" outlineLevel="0" collapsed="false">
      <c r="A35" s="12" t="s">
        <v>183</v>
      </c>
      <c r="B35" s="13" t="s">
        <v>184</v>
      </c>
      <c r="C35" s="13" t="s">
        <v>185</v>
      </c>
      <c r="D35" s="12" t="s">
        <v>46</v>
      </c>
      <c r="E35" s="14" t="s">
        <v>47</v>
      </c>
      <c r="F35" s="15" t="s">
        <v>48</v>
      </c>
      <c r="G35" s="16" t="n">
        <v>3.84</v>
      </c>
      <c r="H35" s="17" t="n">
        <v>1000</v>
      </c>
      <c r="I35" s="18" t="n">
        <f aca="false">IF(AND(ISNUMBER(G35),ISNUMBER(H35),H35&gt;0),G35/H35*1000,"")</f>
        <v>3.84</v>
      </c>
      <c r="J35" s="14" t="s">
        <v>49</v>
      </c>
      <c r="K35" s="14" t="s">
        <v>50</v>
      </c>
      <c r="L35" s="13" t="s">
        <v>186</v>
      </c>
    </row>
    <row r="36" customFormat="false" ht="15" hidden="false" customHeight="true" outlineLevel="0" collapsed="false">
      <c r="A36" s="12" t="s">
        <v>187</v>
      </c>
      <c r="B36" s="13" t="s">
        <v>188</v>
      </c>
      <c r="C36" s="13" t="s">
        <v>189</v>
      </c>
      <c r="D36" s="12" t="s">
        <v>46</v>
      </c>
      <c r="E36" s="14" t="s">
        <v>47</v>
      </c>
      <c r="F36" s="15" t="s">
        <v>48</v>
      </c>
      <c r="G36" s="16" t="n">
        <v>8.06</v>
      </c>
      <c r="H36" s="17" t="n">
        <v>1000</v>
      </c>
      <c r="I36" s="18" t="n">
        <f aca="false">IF(AND(ISNUMBER(G36),ISNUMBER(H36),H36&gt;0),G36/H36*1000,"")</f>
        <v>8.06</v>
      </c>
      <c r="J36" s="14" t="s">
        <v>49</v>
      </c>
      <c r="K36" s="14" t="s">
        <v>50</v>
      </c>
      <c r="L36" s="13" t="s">
        <v>190</v>
      </c>
    </row>
    <row r="37" customFormat="false" ht="15" hidden="false" customHeight="true" outlineLevel="0" collapsed="false">
      <c r="A37" s="12" t="s">
        <v>191</v>
      </c>
      <c r="B37" s="13" t="s">
        <v>192</v>
      </c>
      <c r="C37" s="13" t="s">
        <v>193</v>
      </c>
      <c r="D37" s="12" t="s">
        <v>46</v>
      </c>
      <c r="E37" s="14" t="s">
        <v>47</v>
      </c>
      <c r="F37" s="15" t="s">
        <v>48</v>
      </c>
      <c r="G37" s="16" t="n">
        <v>4.39</v>
      </c>
      <c r="H37" s="17" t="n">
        <v>1000</v>
      </c>
      <c r="I37" s="18" t="n">
        <f aca="false">IF(AND(ISNUMBER(G37),ISNUMBER(H37),H37&gt;0),G37/H37*1000,"")</f>
        <v>4.39</v>
      </c>
      <c r="J37" s="14" t="s">
        <v>49</v>
      </c>
      <c r="K37" s="14" t="s">
        <v>50</v>
      </c>
      <c r="L37" s="13" t="s">
        <v>194</v>
      </c>
    </row>
    <row r="38" customFormat="false" ht="15" hidden="false" customHeight="true" outlineLevel="0" collapsed="false">
      <c r="A38" s="12" t="s">
        <v>195</v>
      </c>
      <c r="B38" s="13" t="s">
        <v>196</v>
      </c>
      <c r="C38" s="13" t="s">
        <v>197</v>
      </c>
      <c r="D38" s="12" t="s">
        <v>46</v>
      </c>
      <c r="E38" s="14" t="s">
        <v>47</v>
      </c>
      <c r="F38" s="15" t="s">
        <v>48</v>
      </c>
      <c r="G38" s="16" t="n">
        <v>9.17</v>
      </c>
      <c r="H38" s="17" t="n">
        <v>1000</v>
      </c>
      <c r="I38" s="18" t="n">
        <f aca="false">IF(AND(ISNUMBER(G38),ISNUMBER(H38),H38&gt;0),G38/H38*1000,"")</f>
        <v>9.17</v>
      </c>
      <c r="J38" s="14" t="s">
        <v>49</v>
      </c>
      <c r="K38" s="14" t="s">
        <v>50</v>
      </c>
      <c r="L38" s="13" t="s">
        <v>198</v>
      </c>
    </row>
    <row r="39" customFormat="false" ht="15" hidden="false" customHeight="true" outlineLevel="0" collapsed="false">
      <c r="A39" s="12" t="s">
        <v>199</v>
      </c>
      <c r="B39" s="13" t="s">
        <v>200</v>
      </c>
      <c r="C39" s="13" t="s">
        <v>201</v>
      </c>
      <c r="D39" s="12" t="s">
        <v>46</v>
      </c>
      <c r="E39" s="14" t="s">
        <v>47</v>
      </c>
      <c r="F39" s="15" t="s">
        <v>48</v>
      </c>
      <c r="G39" s="16" t="n">
        <v>2.74</v>
      </c>
      <c r="H39" s="17" t="n">
        <v>1000</v>
      </c>
      <c r="I39" s="18" t="n">
        <f aca="false">IF(AND(ISNUMBER(G39),ISNUMBER(H39),H39&gt;0),G39/H39*1000,"")</f>
        <v>2.74</v>
      </c>
      <c r="J39" s="14" t="s">
        <v>49</v>
      </c>
      <c r="K39" s="14" t="s">
        <v>50</v>
      </c>
      <c r="L39" s="13" t="s">
        <v>202</v>
      </c>
    </row>
    <row r="40" customFormat="false" ht="15" hidden="false" customHeight="true" outlineLevel="0" collapsed="false">
      <c r="A40" s="12" t="s">
        <v>203</v>
      </c>
      <c r="B40" s="13" t="s">
        <v>204</v>
      </c>
      <c r="C40" s="13" t="s">
        <v>205</v>
      </c>
      <c r="D40" s="12" t="s">
        <v>46</v>
      </c>
      <c r="E40" s="14" t="s">
        <v>47</v>
      </c>
      <c r="F40" s="15" t="s">
        <v>48</v>
      </c>
      <c r="G40" s="16" t="n">
        <v>3.6</v>
      </c>
      <c r="H40" s="17" t="n">
        <v>1000</v>
      </c>
      <c r="I40" s="18" t="n">
        <f aca="false">IF(AND(ISNUMBER(G40),ISNUMBER(H40),H40&gt;0),G40/H40*1000,"")</f>
        <v>3.6</v>
      </c>
      <c r="J40" s="14" t="s">
        <v>49</v>
      </c>
      <c r="K40" s="14" t="s">
        <v>50</v>
      </c>
      <c r="L40" s="13" t="s">
        <v>206</v>
      </c>
    </row>
    <row r="41" customFormat="false" ht="15" hidden="false" customHeight="true" outlineLevel="0" collapsed="false">
      <c r="A41" s="12" t="s">
        <v>207</v>
      </c>
      <c r="B41" s="13" t="s">
        <v>35</v>
      </c>
      <c r="C41" s="13" t="s">
        <v>36</v>
      </c>
      <c r="D41" s="12" t="s">
        <v>46</v>
      </c>
      <c r="E41" s="14" t="s">
        <v>47</v>
      </c>
      <c r="F41" s="15" t="s">
        <v>48</v>
      </c>
      <c r="G41" s="16" t="n">
        <v>4.2</v>
      </c>
      <c r="H41" s="17" t="n">
        <v>1000</v>
      </c>
      <c r="I41" s="18" t="n">
        <f aca="false">IF(AND(ISNUMBER(G41),ISNUMBER(H41),H41&gt;0),G41/H41*1000,"")</f>
        <v>4.2</v>
      </c>
      <c r="J41" s="14" t="s">
        <v>49</v>
      </c>
      <c r="K41" s="14" t="s">
        <v>50</v>
      </c>
      <c r="L41" s="13" t="s">
        <v>208</v>
      </c>
    </row>
    <row r="42" customFormat="false" ht="15" hidden="false" customHeight="true" outlineLevel="0" collapsed="false">
      <c r="A42" s="12" t="s">
        <v>209</v>
      </c>
      <c r="B42" s="13" t="s">
        <v>210</v>
      </c>
      <c r="C42" s="13" t="s">
        <v>211</v>
      </c>
      <c r="D42" s="12" t="s">
        <v>46</v>
      </c>
      <c r="E42" s="14" t="s">
        <v>47</v>
      </c>
      <c r="F42" s="15" t="s">
        <v>48</v>
      </c>
      <c r="G42" s="16" t="n">
        <v>18.89</v>
      </c>
      <c r="H42" s="17" t="n">
        <v>1000</v>
      </c>
      <c r="I42" s="18" t="n">
        <f aca="false">IF(AND(ISNUMBER(G42),ISNUMBER(H42),H42&gt;0),G42/H42*1000,"")</f>
        <v>18.89</v>
      </c>
      <c r="J42" s="14" t="s">
        <v>49</v>
      </c>
      <c r="K42" s="14" t="s">
        <v>50</v>
      </c>
      <c r="L42" s="13" t="s">
        <v>212</v>
      </c>
    </row>
    <row r="43" customFormat="false" ht="15" hidden="false" customHeight="true" outlineLevel="0" collapsed="false">
      <c r="A43" s="12" t="s">
        <v>213</v>
      </c>
      <c r="B43" s="13" t="s">
        <v>214</v>
      </c>
      <c r="C43" s="13" t="s">
        <v>215</v>
      </c>
      <c r="D43" s="12" t="s">
        <v>46</v>
      </c>
      <c r="E43" s="14" t="s">
        <v>47</v>
      </c>
      <c r="F43" s="15" t="s">
        <v>48</v>
      </c>
      <c r="G43" s="16" t="n">
        <v>28.42</v>
      </c>
      <c r="H43" s="17" t="n">
        <v>1000</v>
      </c>
      <c r="I43" s="18" t="n">
        <f aca="false">IF(AND(ISNUMBER(G43),ISNUMBER(H43),H43&gt;0),G43/H43*1000,"")</f>
        <v>28.42</v>
      </c>
      <c r="J43" s="14" t="s">
        <v>49</v>
      </c>
      <c r="K43" s="14" t="s">
        <v>50</v>
      </c>
      <c r="L43" s="13" t="s">
        <v>216</v>
      </c>
    </row>
    <row r="44" customFormat="false" ht="15" hidden="false" customHeight="true" outlineLevel="0" collapsed="false">
      <c r="A44" s="12" t="s">
        <v>217</v>
      </c>
      <c r="B44" s="13" t="s">
        <v>218</v>
      </c>
      <c r="C44" s="13" t="s">
        <v>219</v>
      </c>
      <c r="D44" s="12" t="s">
        <v>46</v>
      </c>
      <c r="E44" s="14" t="s">
        <v>47</v>
      </c>
      <c r="F44" s="15" t="s">
        <v>48</v>
      </c>
      <c r="G44" s="16" t="n">
        <v>15.91</v>
      </c>
      <c r="H44" s="17" t="n">
        <v>1000</v>
      </c>
      <c r="I44" s="18" t="n">
        <f aca="false">IF(AND(ISNUMBER(G44),ISNUMBER(H44),H44&gt;0),G44/H44*1000,"")</f>
        <v>15.91</v>
      </c>
      <c r="J44" s="14" t="s">
        <v>49</v>
      </c>
      <c r="K44" s="14" t="s">
        <v>50</v>
      </c>
      <c r="L44" s="13" t="s">
        <v>220</v>
      </c>
    </row>
    <row r="45" customFormat="false" ht="15" hidden="false" customHeight="true" outlineLevel="0" collapsed="false">
      <c r="A45" s="12" t="s">
        <v>221</v>
      </c>
      <c r="B45" s="13" t="s">
        <v>222</v>
      </c>
      <c r="C45" s="13" t="s">
        <v>223</v>
      </c>
      <c r="D45" s="12" t="s">
        <v>46</v>
      </c>
      <c r="E45" s="14" t="s">
        <v>47</v>
      </c>
      <c r="F45" s="15" t="s">
        <v>48</v>
      </c>
      <c r="G45" s="16" t="n">
        <v>30.21</v>
      </c>
      <c r="H45" s="17" t="n">
        <v>1000</v>
      </c>
      <c r="I45" s="18" t="n">
        <f aca="false">IF(AND(ISNUMBER(G45),ISNUMBER(H45),H45&gt;0),G45/H45*1000,"")</f>
        <v>30.21</v>
      </c>
      <c r="J45" s="14" t="s">
        <v>49</v>
      </c>
      <c r="K45" s="14" t="s">
        <v>50</v>
      </c>
      <c r="L45" s="13" t="s">
        <v>224</v>
      </c>
    </row>
    <row r="46" customFormat="false" ht="15" hidden="false" customHeight="true" outlineLevel="0" collapsed="false">
      <c r="A46" s="12" t="s">
        <v>225</v>
      </c>
      <c r="B46" s="13" t="s">
        <v>226</v>
      </c>
      <c r="C46" s="13" t="s">
        <v>227</v>
      </c>
      <c r="D46" s="12" t="s">
        <v>46</v>
      </c>
      <c r="E46" s="14" t="s">
        <v>47</v>
      </c>
      <c r="F46" s="15" t="s">
        <v>48</v>
      </c>
      <c r="G46" s="16" t="n">
        <v>17.78</v>
      </c>
      <c r="H46" s="17" t="n">
        <v>1000</v>
      </c>
      <c r="I46" s="18" t="n">
        <f aca="false">IF(AND(ISNUMBER(G46),ISNUMBER(H46),H46&gt;0),G46/H46*1000,"")</f>
        <v>17.78</v>
      </c>
      <c r="J46" s="14" t="s">
        <v>49</v>
      </c>
      <c r="K46" s="14" t="s">
        <v>50</v>
      </c>
      <c r="L46" s="13" t="s">
        <v>228</v>
      </c>
    </row>
    <row r="47" customFormat="false" ht="15" hidden="false" customHeight="true" outlineLevel="0" collapsed="false">
      <c r="A47" s="12" t="s">
        <v>229</v>
      </c>
      <c r="B47" s="13" t="s">
        <v>230</v>
      </c>
      <c r="C47" s="13" t="s">
        <v>231</v>
      </c>
      <c r="D47" s="12" t="s">
        <v>46</v>
      </c>
      <c r="E47" s="14" t="s">
        <v>47</v>
      </c>
      <c r="F47" s="15" t="s">
        <v>48</v>
      </c>
      <c r="G47" s="16" t="n">
        <v>17.78</v>
      </c>
      <c r="H47" s="17" t="n">
        <v>1000</v>
      </c>
      <c r="I47" s="18" t="n">
        <f aca="false">IF(AND(ISNUMBER(G47),ISNUMBER(H47),H47&gt;0),G47/H47*1000,"")</f>
        <v>17.78</v>
      </c>
      <c r="J47" s="14" t="s">
        <v>49</v>
      </c>
      <c r="K47" s="14" t="s">
        <v>50</v>
      </c>
      <c r="L47" s="13" t="s">
        <v>228</v>
      </c>
    </row>
    <row r="48" customFormat="false" ht="15" hidden="false" customHeight="true" outlineLevel="0" collapsed="false">
      <c r="A48" s="12" t="s">
        <v>232</v>
      </c>
      <c r="B48" s="13" t="s">
        <v>233</v>
      </c>
      <c r="C48" s="13" t="s">
        <v>234</v>
      </c>
      <c r="D48" s="12" t="s">
        <v>46</v>
      </c>
      <c r="E48" s="14" t="s">
        <v>47</v>
      </c>
      <c r="F48" s="15" t="s">
        <v>48</v>
      </c>
      <c r="G48" s="16" t="n">
        <v>23.47</v>
      </c>
      <c r="H48" s="17" t="n">
        <v>1000</v>
      </c>
      <c r="I48" s="18" t="n">
        <f aca="false">IF(AND(ISNUMBER(G48),ISNUMBER(H48),H48&gt;0),G48/H48*1000,"")</f>
        <v>23.47</v>
      </c>
      <c r="J48" s="14" t="s">
        <v>49</v>
      </c>
      <c r="K48" s="14" t="s">
        <v>50</v>
      </c>
      <c r="L48" s="13" t="s">
        <v>235</v>
      </c>
    </row>
    <row r="49" customFormat="false" ht="15" hidden="false" customHeight="true" outlineLevel="0" collapsed="false">
      <c r="A49" s="12" t="s">
        <v>236</v>
      </c>
      <c r="B49" s="13" t="s">
        <v>237</v>
      </c>
      <c r="C49" s="13" t="s">
        <v>238</v>
      </c>
      <c r="D49" s="12" t="s">
        <v>46</v>
      </c>
      <c r="E49" s="14" t="s">
        <v>47</v>
      </c>
      <c r="F49" s="15" t="s">
        <v>48</v>
      </c>
      <c r="G49" s="16" t="n">
        <v>23.45</v>
      </c>
      <c r="H49" s="17" t="n">
        <v>1000</v>
      </c>
      <c r="I49" s="18" t="n">
        <f aca="false">IF(AND(ISNUMBER(G49),ISNUMBER(H49),H49&gt;0),G49/H49*1000,"")</f>
        <v>23.45</v>
      </c>
      <c r="J49" s="14" t="s">
        <v>49</v>
      </c>
      <c r="K49" s="14" t="s">
        <v>50</v>
      </c>
      <c r="L49" s="13" t="s">
        <v>239</v>
      </c>
    </row>
    <row r="50" customFormat="false" ht="15" hidden="false" customHeight="true" outlineLevel="0" collapsed="false">
      <c r="A50" s="12" t="s">
        <v>240</v>
      </c>
      <c r="B50" s="13" t="s">
        <v>241</v>
      </c>
      <c r="C50" s="13" t="s">
        <v>242</v>
      </c>
      <c r="D50" s="12" t="s">
        <v>46</v>
      </c>
      <c r="E50" s="14" t="s">
        <v>47</v>
      </c>
      <c r="F50" s="15" t="s">
        <v>48</v>
      </c>
      <c r="G50" s="16" t="n">
        <v>30.7</v>
      </c>
      <c r="H50" s="17" t="n">
        <v>1000</v>
      </c>
      <c r="I50" s="18" t="n">
        <f aca="false">IF(AND(ISNUMBER(G50),ISNUMBER(H50),H50&gt;0),G50/H50*1000,"")</f>
        <v>30.7</v>
      </c>
      <c r="J50" s="14" t="s">
        <v>49</v>
      </c>
      <c r="K50" s="14" t="s">
        <v>50</v>
      </c>
      <c r="L50" s="13" t="s">
        <v>243</v>
      </c>
    </row>
    <row r="51" customFormat="false" ht="15" hidden="false" customHeight="true" outlineLevel="0" collapsed="false">
      <c r="A51" s="12" t="s">
        <v>244</v>
      </c>
      <c r="B51" s="13" t="s">
        <v>245</v>
      </c>
      <c r="C51" s="13" t="s">
        <v>246</v>
      </c>
      <c r="D51" s="12" t="s">
        <v>46</v>
      </c>
      <c r="E51" s="14" t="s">
        <v>47</v>
      </c>
      <c r="F51" s="15" t="s">
        <v>48</v>
      </c>
      <c r="G51" s="16" t="n">
        <v>16.18</v>
      </c>
      <c r="H51" s="17" t="n">
        <v>1000</v>
      </c>
      <c r="I51" s="18" t="n">
        <f aca="false">IF(AND(ISNUMBER(G51),ISNUMBER(H51),H51&gt;0),G51/H51*1000,"")</f>
        <v>16.18</v>
      </c>
      <c r="J51" s="14" t="s">
        <v>49</v>
      </c>
      <c r="K51" s="14" t="s">
        <v>50</v>
      </c>
      <c r="L51" s="13" t="s">
        <v>247</v>
      </c>
    </row>
    <row r="52" customFormat="false" ht="15" hidden="false" customHeight="true" outlineLevel="0" collapsed="false">
      <c r="A52" s="12" t="s">
        <v>248</v>
      </c>
      <c r="B52" s="13" t="s">
        <v>249</v>
      </c>
      <c r="C52" s="13" t="s">
        <v>250</v>
      </c>
      <c r="D52" s="12" t="s">
        <v>46</v>
      </c>
      <c r="E52" s="14" t="s">
        <v>47</v>
      </c>
      <c r="F52" s="15" t="s">
        <v>48</v>
      </c>
      <c r="G52" s="16" t="n">
        <v>23.45</v>
      </c>
      <c r="H52" s="17" t="n">
        <v>1000</v>
      </c>
      <c r="I52" s="18" t="n">
        <f aca="false">IF(AND(ISNUMBER(G52),ISNUMBER(H52),H52&gt;0),G52/H52*1000,"")</f>
        <v>23.45</v>
      </c>
      <c r="J52" s="14" t="s">
        <v>49</v>
      </c>
      <c r="K52" s="14" t="s">
        <v>50</v>
      </c>
      <c r="L52" s="13" t="s">
        <v>239</v>
      </c>
    </row>
    <row r="53" customFormat="false" ht="15" hidden="false" customHeight="true" outlineLevel="0" collapsed="false">
      <c r="A53" s="12" t="s">
        <v>251</v>
      </c>
      <c r="B53" s="13" t="s">
        <v>252</v>
      </c>
      <c r="C53" s="13" t="s">
        <v>253</v>
      </c>
      <c r="D53" s="12" t="s">
        <v>46</v>
      </c>
      <c r="E53" s="14" t="s">
        <v>47</v>
      </c>
      <c r="F53" s="15" t="s">
        <v>48</v>
      </c>
      <c r="G53" s="16" t="n">
        <v>42.76</v>
      </c>
      <c r="H53" s="17" t="n">
        <v>1000</v>
      </c>
      <c r="I53" s="18" t="n">
        <f aca="false">IF(AND(ISNUMBER(G53),ISNUMBER(H53),H53&gt;0),G53/H53*1000,"")</f>
        <v>42.76</v>
      </c>
      <c r="J53" s="14" t="s">
        <v>49</v>
      </c>
      <c r="K53" s="14" t="s">
        <v>50</v>
      </c>
      <c r="L53" s="13" t="s">
        <v>254</v>
      </c>
    </row>
    <row r="54" customFormat="false" ht="15" hidden="false" customHeight="true" outlineLevel="0" collapsed="false">
      <c r="A54" s="12" t="s">
        <v>255</v>
      </c>
      <c r="B54" s="13" t="s">
        <v>256</v>
      </c>
      <c r="C54" s="13" t="s">
        <v>257</v>
      </c>
      <c r="D54" s="12" t="s">
        <v>46</v>
      </c>
      <c r="E54" s="14" t="s">
        <v>47</v>
      </c>
      <c r="F54" s="15" t="s">
        <v>48</v>
      </c>
      <c r="G54" s="16" t="n">
        <v>18.33</v>
      </c>
      <c r="H54" s="17" t="n">
        <v>1000</v>
      </c>
      <c r="I54" s="18" t="n">
        <f aca="false">IF(AND(ISNUMBER(G54),ISNUMBER(H54),H54&gt;0),G54/H54*1000,"")</f>
        <v>18.33</v>
      </c>
      <c r="J54" s="14" t="s">
        <v>49</v>
      </c>
      <c r="K54" s="14" t="s">
        <v>50</v>
      </c>
      <c r="L54" s="13" t="s">
        <v>228</v>
      </c>
    </row>
    <row r="55" customFormat="false" ht="15" hidden="false" customHeight="true" outlineLevel="0" collapsed="false">
      <c r="A55" s="12" t="s">
        <v>258</v>
      </c>
      <c r="B55" s="13" t="s">
        <v>259</v>
      </c>
      <c r="C55" s="13" t="s">
        <v>260</v>
      </c>
      <c r="D55" s="12" t="s">
        <v>46</v>
      </c>
      <c r="E55" s="14" t="s">
        <v>47</v>
      </c>
      <c r="F55" s="15" t="s">
        <v>48</v>
      </c>
      <c r="G55" s="16" t="n">
        <v>28.92</v>
      </c>
      <c r="H55" s="17" t="n">
        <v>1000</v>
      </c>
      <c r="I55" s="18" t="n">
        <f aca="false">IF(AND(ISNUMBER(G55),ISNUMBER(H55),H55&gt;0),G55/H55*1000,"")</f>
        <v>28.92</v>
      </c>
      <c r="J55" s="14" t="s">
        <v>49</v>
      </c>
      <c r="K55" s="14" t="s">
        <v>50</v>
      </c>
      <c r="L55" s="13" t="s">
        <v>261</v>
      </c>
    </row>
    <row r="56" customFormat="false" ht="15" hidden="false" customHeight="true" outlineLevel="0" collapsed="false">
      <c r="A56" s="12" t="s">
        <v>262</v>
      </c>
      <c r="B56" s="13" t="s">
        <v>263</v>
      </c>
      <c r="C56" s="13" t="s">
        <v>264</v>
      </c>
      <c r="D56" s="12" t="s">
        <v>46</v>
      </c>
      <c r="E56" s="14" t="s">
        <v>47</v>
      </c>
      <c r="F56" s="15" t="s">
        <v>48</v>
      </c>
      <c r="G56" s="16" t="n">
        <v>12.47</v>
      </c>
      <c r="H56" s="17" t="n">
        <v>1000</v>
      </c>
      <c r="I56" s="18" t="n">
        <f aca="false">IF(AND(ISNUMBER(G56),ISNUMBER(H56),H56&gt;0),G56/H56*1000,"")</f>
        <v>12.47</v>
      </c>
      <c r="J56" s="14" t="s">
        <v>49</v>
      </c>
      <c r="K56" s="14" t="s">
        <v>50</v>
      </c>
      <c r="L56" s="13" t="s">
        <v>265</v>
      </c>
    </row>
    <row r="57" customFormat="false" ht="15" hidden="false" customHeight="true" outlineLevel="0" collapsed="false">
      <c r="A57" s="12" t="s">
        <v>266</v>
      </c>
      <c r="B57" s="13" t="s">
        <v>267</v>
      </c>
      <c r="C57" s="13" t="s">
        <v>268</v>
      </c>
      <c r="D57" s="12" t="s">
        <v>46</v>
      </c>
      <c r="E57" s="14" t="s">
        <v>47</v>
      </c>
      <c r="F57" s="15" t="s">
        <v>48</v>
      </c>
      <c r="G57" s="16" t="n">
        <v>3.33</v>
      </c>
      <c r="H57" s="17" t="n">
        <v>1000</v>
      </c>
      <c r="I57" s="18" t="n">
        <f aca="false">IF(AND(ISNUMBER(G57),ISNUMBER(H57),H57&gt;0),G57/H57*1000,"")</f>
        <v>3.33</v>
      </c>
      <c r="J57" s="14" t="s">
        <v>49</v>
      </c>
      <c r="K57" s="14" t="s">
        <v>50</v>
      </c>
      <c r="L57" s="13" t="s">
        <v>269</v>
      </c>
    </row>
    <row r="58" customFormat="false" ht="15" hidden="false" customHeight="true" outlineLevel="0" collapsed="false">
      <c r="A58" s="12" t="s">
        <v>270</v>
      </c>
      <c r="B58" s="13" t="s">
        <v>271</v>
      </c>
      <c r="C58" s="13" t="s">
        <v>272</v>
      </c>
      <c r="D58" s="12" t="s">
        <v>46</v>
      </c>
      <c r="E58" s="14" t="s">
        <v>47</v>
      </c>
      <c r="F58" s="15" t="s">
        <v>48</v>
      </c>
      <c r="G58" s="16" t="n">
        <v>4.93</v>
      </c>
      <c r="H58" s="17" t="n">
        <v>1000</v>
      </c>
      <c r="I58" s="18" t="n">
        <f aca="false">IF(AND(ISNUMBER(G58),ISNUMBER(H58),H58&gt;0),G58/H58*1000,"")</f>
        <v>4.93</v>
      </c>
      <c r="J58" s="14" t="s">
        <v>49</v>
      </c>
      <c r="K58" s="14" t="s">
        <v>50</v>
      </c>
      <c r="L58" s="13" t="s">
        <v>273</v>
      </c>
    </row>
    <row r="59" customFormat="false" ht="15" hidden="false" customHeight="true" outlineLevel="0" collapsed="false">
      <c r="A59" s="12" t="s">
        <v>274</v>
      </c>
      <c r="B59" s="13" t="s">
        <v>275</v>
      </c>
      <c r="C59" s="13" t="s">
        <v>276</v>
      </c>
      <c r="D59" s="12" t="s">
        <v>46</v>
      </c>
      <c r="E59" s="14" t="s">
        <v>47</v>
      </c>
      <c r="F59" s="15" t="s">
        <v>48</v>
      </c>
      <c r="G59" s="16" t="n">
        <v>4.6</v>
      </c>
      <c r="H59" s="17" t="n">
        <v>1000</v>
      </c>
      <c r="I59" s="18" t="n">
        <f aca="false">IF(AND(ISNUMBER(G59),ISNUMBER(H59),H59&gt;0),G59/H59*1000,"")</f>
        <v>4.6</v>
      </c>
      <c r="J59" s="14" t="s">
        <v>49</v>
      </c>
      <c r="K59" s="14" t="s">
        <v>50</v>
      </c>
      <c r="L59" s="13" t="s">
        <v>277</v>
      </c>
    </row>
    <row r="60" customFormat="false" ht="15" hidden="false" customHeight="true" outlineLevel="0" collapsed="false">
      <c r="A60" s="12" t="s">
        <v>278</v>
      </c>
      <c r="B60" s="13" t="s">
        <v>279</v>
      </c>
      <c r="C60" s="13" t="s">
        <v>280</v>
      </c>
      <c r="D60" s="12" t="s">
        <v>46</v>
      </c>
      <c r="E60" s="14" t="s">
        <v>47</v>
      </c>
      <c r="F60" s="15" t="s">
        <v>48</v>
      </c>
      <c r="G60" s="16" t="n">
        <v>9.3</v>
      </c>
      <c r="H60" s="17" t="n">
        <v>1000</v>
      </c>
      <c r="I60" s="18" t="n">
        <f aca="false">IF(AND(ISNUMBER(G60),ISNUMBER(H60),H60&gt;0),G60/H60*1000,"")</f>
        <v>9.3</v>
      </c>
      <c r="J60" s="14" t="s">
        <v>49</v>
      </c>
      <c r="K60" s="14" t="s">
        <v>50</v>
      </c>
      <c r="L60" s="13" t="s">
        <v>281</v>
      </c>
    </row>
    <row r="61" customFormat="false" ht="15" hidden="false" customHeight="true" outlineLevel="0" collapsed="false">
      <c r="A61" s="12" t="s">
        <v>282</v>
      </c>
      <c r="B61" s="13" t="s">
        <v>283</v>
      </c>
      <c r="C61" s="13" t="s">
        <v>284</v>
      </c>
      <c r="D61" s="12" t="s">
        <v>46</v>
      </c>
      <c r="E61" s="14" t="s">
        <v>47</v>
      </c>
      <c r="F61" s="15" t="s">
        <v>48</v>
      </c>
      <c r="G61" s="16" t="n">
        <v>12.26</v>
      </c>
      <c r="H61" s="17" t="n">
        <v>1000</v>
      </c>
      <c r="I61" s="18" t="n">
        <f aca="false">IF(AND(ISNUMBER(G61),ISNUMBER(H61),H61&gt;0),G61/H61*1000,"")</f>
        <v>12.26</v>
      </c>
      <c r="J61" s="14" t="s">
        <v>49</v>
      </c>
      <c r="K61" s="14" t="s">
        <v>50</v>
      </c>
      <c r="L61" s="13" t="s">
        <v>285</v>
      </c>
    </row>
    <row r="62" customFormat="false" ht="15" hidden="false" customHeight="true" outlineLevel="0" collapsed="false">
      <c r="A62" s="12" t="s">
        <v>286</v>
      </c>
      <c r="B62" s="13" t="s">
        <v>287</v>
      </c>
      <c r="C62" s="13" t="s">
        <v>288</v>
      </c>
      <c r="D62" s="12" t="s">
        <v>46</v>
      </c>
      <c r="E62" s="14" t="s">
        <v>47</v>
      </c>
      <c r="F62" s="15" t="s">
        <v>48</v>
      </c>
      <c r="G62" s="16" t="n">
        <v>10.33</v>
      </c>
      <c r="H62" s="17" t="n">
        <v>1000</v>
      </c>
      <c r="I62" s="18" t="n">
        <f aca="false">IF(AND(ISNUMBER(G62),ISNUMBER(H62),H62&gt;0),G62/H62*1000,"")</f>
        <v>10.33</v>
      </c>
      <c r="J62" s="14" t="s">
        <v>49</v>
      </c>
      <c r="K62" s="14" t="s">
        <v>50</v>
      </c>
      <c r="L62" s="13" t="s">
        <v>289</v>
      </c>
    </row>
    <row r="63" customFormat="false" ht="15" hidden="false" customHeight="true" outlineLevel="0" collapsed="false">
      <c r="A63" s="12" t="s">
        <v>290</v>
      </c>
      <c r="B63" s="13" t="s">
        <v>291</v>
      </c>
      <c r="C63" s="13" t="s">
        <v>292</v>
      </c>
      <c r="D63" s="12" t="s">
        <v>46</v>
      </c>
      <c r="E63" s="14" t="s">
        <v>47</v>
      </c>
      <c r="F63" s="15" t="s">
        <v>48</v>
      </c>
      <c r="G63" s="16" t="n">
        <v>15.67</v>
      </c>
      <c r="H63" s="17" t="n">
        <v>1000</v>
      </c>
      <c r="I63" s="18" t="n">
        <f aca="false">IF(AND(ISNUMBER(G63),ISNUMBER(H63),H63&gt;0),G63/H63*1000,"")</f>
        <v>15.67</v>
      </c>
      <c r="J63" s="14" t="s">
        <v>49</v>
      </c>
      <c r="K63" s="14" t="s">
        <v>50</v>
      </c>
      <c r="L63" s="13" t="s">
        <v>293</v>
      </c>
    </row>
    <row r="64" customFormat="false" ht="15" hidden="false" customHeight="true" outlineLevel="0" collapsed="false">
      <c r="A64" s="12" t="s">
        <v>294</v>
      </c>
      <c r="B64" s="13" t="s">
        <v>295</v>
      </c>
      <c r="C64" s="13" t="s">
        <v>296</v>
      </c>
      <c r="D64" s="12" t="s">
        <v>46</v>
      </c>
      <c r="E64" s="14" t="s">
        <v>47</v>
      </c>
      <c r="F64" s="15" t="s">
        <v>48</v>
      </c>
      <c r="G64" s="16" t="n">
        <v>17</v>
      </c>
      <c r="H64" s="17" t="n">
        <v>1000</v>
      </c>
      <c r="I64" s="18" t="n">
        <f aca="false">IF(AND(ISNUMBER(G64),ISNUMBER(H64),H64&gt;0),G64/H64*1000,"")</f>
        <v>17</v>
      </c>
      <c r="J64" s="14" t="s">
        <v>49</v>
      </c>
      <c r="K64" s="14" t="s">
        <v>50</v>
      </c>
      <c r="L64" s="13" t="s">
        <v>297</v>
      </c>
    </row>
    <row r="65" customFormat="false" ht="15" hidden="false" customHeight="true" outlineLevel="0" collapsed="false">
      <c r="A65" s="12" t="s">
        <v>298</v>
      </c>
      <c r="B65" s="13" t="s">
        <v>299</v>
      </c>
      <c r="C65" s="13" t="s">
        <v>300</v>
      </c>
      <c r="D65" s="12" t="s">
        <v>46</v>
      </c>
      <c r="E65" s="14" t="s">
        <v>102</v>
      </c>
      <c r="F65" s="15" t="s">
        <v>48</v>
      </c>
      <c r="G65" s="16" t="n">
        <v>10.65</v>
      </c>
      <c r="H65" s="17" t="n">
        <v>1000</v>
      </c>
      <c r="I65" s="18" t="n">
        <f aca="false">IF(AND(ISNUMBER(G65),ISNUMBER(H65),H65&gt;0),G65/H65*1000,"")</f>
        <v>10.65</v>
      </c>
      <c r="J65" s="14" t="s">
        <v>165</v>
      </c>
      <c r="K65" s="14" t="s">
        <v>50</v>
      </c>
      <c r="L65" s="13" t="s">
        <v>301</v>
      </c>
    </row>
    <row r="66" customFormat="false" ht="15" hidden="false" customHeight="true" outlineLevel="0" collapsed="false">
      <c r="A66" s="12" t="s">
        <v>302</v>
      </c>
      <c r="B66" s="13" t="s">
        <v>303</v>
      </c>
      <c r="C66" s="13" t="s">
        <v>304</v>
      </c>
      <c r="D66" s="12" t="s">
        <v>46</v>
      </c>
      <c r="E66" s="14" t="s">
        <v>47</v>
      </c>
      <c r="F66" s="15" t="s">
        <v>48</v>
      </c>
      <c r="G66" s="16" t="n">
        <v>8</v>
      </c>
      <c r="H66" s="17" t="n">
        <v>1000</v>
      </c>
      <c r="I66" s="18" t="n">
        <f aca="false">IF(AND(ISNUMBER(G66),ISNUMBER(H66),H66&gt;0),G66/H66*1000,"")</f>
        <v>8</v>
      </c>
      <c r="J66" s="14" t="s">
        <v>49</v>
      </c>
      <c r="K66" s="14" t="s">
        <v>50</v>
      </c>
      <c r="L66" s="13" t="s">
        <v>305</v>
      </c>
    </row>
    <row r="67" customFormat="false" ht="15" hidden="false" customHeight="true" outlineLevel="0" collapsed="false">
      <c r="A67" s="12" t="s">
        <v>306</v>
      </c>
      <c r="B67" s="13" t="s">
        <v>307</v>
      </c>
      <c r="C67" s="13" t="s">
        <v>308</v>
      </c>
      <c r="D67" s="12" t="s">
        <v>46</v>
      </c>
      <c r="E67" s="14" t="s">
        <v>47</v>
      </c>
      <c r="F67" s="15" t="s">
        <v>48</v>
      </c>
      <c r="G67" s="16" t="n">
        <v>14.75</v>
      </c>
      <c r="H67" s="17" t="n">
        <v>1000</v>
      </c>
      <c r="I67" s="18" t="n">
        <f aca="false">IF(AND(ISNUMBER(G67),ISNUMBER(H67),H67&gt;0),G67/H67*1000,"")</f>
        <v>14.75</v>
      </c>
      <c r="J67" s="14" t="s">
        <v>49</v>
      </c>
      <c r="K67" s="14" t="s">
        <v>50</v>
      </c>
      <c r="L67" s="13" t="s">
        <v>309</v>
      </c>
    </row>
    <row r="68" customFormat="false" ht="15" hidden="false" customHeight="true" outlineLevel="0" collapsed="false">
      <c r="A68" s="12" t="s">
        <v>310</v>
      </c>
      <c r="B68" s="13" t="s">
        <v>311</v>
      </c>
      <c r="C68" s="13" t="s">
        <v>312</v>
      </c>
      <c r="D68" s="12" t="s">
        <v>46</v>
      </c>
      <c r="E68" s="14" t="s">
        <v>47</v>
      </c>
      <c r="F68" s="15" t="s">
        <v>48</v>
      </c>
      <c r="G68" s="16" t="n">
        <v>2.08</v>
      </c>
      <c r="H68" s="17" t="n">
        <v>1000</v>
      </c>
      <c r="I68" s="18" t="n">
        <f aca="false">IF(AND(ISNUMBER(G68),ISNUMBER(H68),H68&gt;0),G68/H68*1000,"")</f>
        <v>2.08</v>
      </c>
      <c r="J68" s="14" t="s">
        <v>49</v>
      </c>
      <c r="K68" s="14" t="s">
        <v>50</v>
      </c>
      <c r="L68" s="13" t="s">
        <v>313</v>
      </c>
    </row>
    <row r="69" customFormat="false" ht="15" hidden="false" customHeight="true" outlineLevel="0" collapsed="false">
      <c r="A69" s="12" t="s">
        <v>314</v>
      </c>
      <c r="B69" s="13" t="s">
        <v>315</v>
      </c>
      <c r="C69" s="13" t="s">
        <v>316</v>
      </c>
      <c r="D69" s="12" t="s">
        <v>46</v>
      </c>
      <c r="E69" s="14" t="s">
        <v>47</v>
      </c>
      <c r="F69" s="15" t="s">
        <v>48</v>
      </c>
      <c r="G69" s="16" t="n">
        <v>12.83</v>
      </c>
      <c r="H69" s="17" t="n">
        <v>1000</v>
      </c>
      <c r="I69" s="18" t="n">
        <f aca="false">IF(AND(ISNUMBER(G69),ISNUMBER(H69),H69&gt;0),G69/H69*1000,"")</f>
        <v>12.83</v>
      </c>
      <c r="J69" s="14" t="s">
        <v>49</v>
      </c>
      <c r="K69" s="14" t="s">
        <v>50</v>
      </c>
      <c r="L69" s="13" t="s">
        <v>317</v>
      </c>
    </row>
    <row r="70" customFormat="false" ht="15" hidden="false" customHeight="true" outlineLevel="0" collapsed="false">
      <c r="A70" s="12" t="s">
        <v>318</v>
      </c>
      <c r="B70" s="13" t="s">
        <v>319</v>
      </c>
      <c r="C70" s="13" t="s">
        <v>320</v>
      </c>
      <c r="D70" s="12" t="s">
        <v>46</v>
      </c>
      <c r="E70" s="14" t="s">
        <v>47</v>
      </c>
      <c r="F70" s="15" t="s">
        <v>48</v>
      </c>
      <c r="G70" s="16" t="n">
        <v>22.95</v>
      </c>
      <c r="H70" s="17" t="n">
        <v>1000</v>
      </c>
      <c r="I70" s="18" t="n">
        <f aca="false">IF(AND(ISNUMBER(G70),ISNUMBER(H70),H70&gt;0),G70/H70*1000,"")</f>
        <v>22.95</v>
      </c>
      <c r="J70" s="14" t="s">
        <v>49</v>
      </c>
      <c r="K70" s="14" t="s">
        <v>50</v>
      </c>
      <c r="L70" s="13" t="s">
        <v>321</v>
      </c>
    </row>
    <row r="71" customFormat="false" ht="15" hidden="false" customHeight="true" outlineLevel="0" collapsed="false">
      <c r="A71" s="12" t="s">
        <v>322</v>
      </c>
      <c r="B71" s="13" t="s">
        <v>323</v>
      </c>
      <c r="C71" s="13" t="s">
        <v>324</v>
      </c>
      <c r="D71" s="12" t="s">
        <v>46</v>
      </c>
      <c r="E71" s="14" t="s">
        <v>102</v>
      </c>
      <c r="F71" s="15" t="s">
        <v>48</v>
      </c>
      <c r="G71" s="16" t="n">
        <v>7.64</v>
      </c>
      <c r="H71" s="17" t="n">
        <v>1000</v>
      </c>
      <c r="I71" s="18" t="n">
        <f aca="false">IF(AND(ISNUMBER(G71),ISNUMBER(H71),H71&gt;0),G71/H71*1000,"")</f>
        <v>7.64</v>
      </c>
      <c r="J71" s="14" t="s">
        <v>131</v>
      </c>
      <c r="K71" s="14" t="s">
        <v>50</v>
      </c>
      <c r="L71" s="13" t="s">
        <v>325</v>
      </c>
    </row>
    <row r="72" customFormat="false" ht="15" hidden="false" customHeight="true" outlineLevel="0" collapsed="false">
      <c r="A72" s="12" t="s">
        <v>326</v>
      </c>
      <c r="B72" s="13" t="s">
        <v>327</v>
      </c>
      <c r="C72" s="13" t="s">
        <v>328</v>
      </c>
      <c r="D72" s="12" t="s">
        <v>46</v>
      </c>
      <c r="E72" s="14" t="s">
        <v>47</v>
      </c>
      <c r="F72" s="15" t="s">
        <v>48</v>
      </c>
      <c r="G72" s="16" t="n">
        <v>8.5</v>
      </c>
      <c r="H72" s="17" t="n">
        <v>1000</v>
      </c>
      <c r="I72" s="18" t="n">
        <f aca="false">IF(AND(ISNUMBER(G72),ISNUMBER(H72),H72&gt;0),G72/H72*1000,"")</f>
        <v>8.5</v>
      </c>
      <c r="J72" s="14" t="s">
        <v>49</v>
      </c>
      <c r="K72" s="14" t="s">
        <v>50</v>
      </c>
      <c r="L72" s="13" t="s">
        <v>329</v>
      </c>
    </row>
    <row r="73" customFormat="false" ht="15" hidden="false" customHeight="true" outlineLevel="0" collapsed="false">
      <c r="A73" s="12" t="s">
        <v>330</v>
      </c>
      <c r="B73" s="13" t="s">
        <v>331</v>
      </c>
      <c r="C73" s="13" t="s">
        <v>332</v>
      </c>
      <c r="D73" s="12" t="s">
        <v>46</v>
      </c>
      <c r="E73" s="14" t="s">
        <v>47</v>
      </c>
      <c r="F73" s="15" t="s">
        <v>48</v>
      </c>
      <c r="G73" s="16" t="n">
        <v>12.3</v>
      </c>
      <c r="H73" s="17" t="n">
        <v>1000</v>
      </c>
      <c r="I73" s="18" t="n">
        <f aca="false">IF(AND(ISNUMBER(G73),ISNUMBER(H73),H73&gt;0),G73/H73*1000,"")</f>
        <v>12.3</v>
      </c>
      <c r="J73" s="14" t="s">
        <v>49</v>
      </c>
      <c r="K73" s="14" t="s">
        <v>50</v>
      </c>
      <c r="L73" s="13" t="s">
        <v>333</v>
      </c>
    </row>
    <row r="74" customFormat="false" ht="15" hidden="false" customHeight="true" outlineLevel="0" collapsed="false">
      <c r="A74" s="12" t="s">
        <v>334</v>
      </c>
      <c r="B74" s="13" t="s">
        <v>335</v>
      </c>
      <c r="C74" s="13" t="s">
        <v>336</v>
      </c>
      <c r="D74" s="12" t="s">
        <v>46</v>
      </c>
      <c r="E74" s="14" t="s">
        <v>47</v>
      </c>
      <c r="F74" s="15" t="s">
        <v>48</v>
      </c>
      <c r="G74" s="16" t="n">
        <v>11.67</v>
      </c>
      <c r="H74" s="17" t="n">
        <v>1000</v>
      </c>
      <c r="I74" s="18" t="n">
        <f aca="false">IF(AND(ISNUMBER(G74),ISNUMBER(H74),H74&gt;0),G74/H74*1000,"")</f>
        <v>11.67</v>
      </c>
      <c r="J74" s="14" t="s">
        <v>49</v>
      </c>
      <c r="K74" s="14" t="s">
        <v>50</v>
      </c>
      <c r="L74" s="13" t="s">
        <v>337</v>
      </c>
    </row>
    <row r="75" customFormat="false" ht="15" hidden="false" customHeight="true" outlineLevel="0" collapsed="false">
      <c r="A75" s="12" t="s">
        <v>338</v>
      </c>
      <c r="B75" s="13" t="s">
        <v>339</v>
      </c>
      <c r="C75" s="13" t="s">
        <v>340</v>
      </c>
      <c r="D75" s="12" t="s">
        <v>46</v>
      </c>
      <c r="E75" s="14" t="s">
        <v>47</v>
      </c>
      <c r="F75" s="15" t="s">
        <v>48</v>
      </c>
      <c r="G75" s="16" t="n">
        <v>1.58</v>
      </c>
      <c r="H75" s="17" t="n">
        <v>1000</v>
      </c>
      <c r="I75" s="18" t="n">
        <f aca="false">IF(AND(ISNUMBER(G75),ISNUMBER(H75),H75&gt;0),G75/H75*1000,"")</f>
        <v>1.58</v>
      </c>
      <c r="J75" s="14" t="s">
        <v>49</v>
      </c>
      <c r="K75" s="14" t="s">
        <v>50</v>
      </c>
      <c r="L75" s="13" t="s">
        <v>341</v>
      </c>
    </row>
    <row r="76" customFormat="false" ht="15" hidden="false" customHeight="true" outlineLevel="0" collapsed="false">
      <c r="A76" s="12" t="s">
        <v>342</v>
      </c>
      <c r="B76" s="13" t="s">
        <v>343</v>
      </c>
      <c r="C76" s="13" t="s">
        <v>344</v>
      </c>
      <c r="D76" s="12" t="s">
        <v>46</v>
      </c>
      <c r="E76" s="14" t="s">
        <v>47</v>
      </c>
      <c r="F76" s="15" t="s">
        <v>48</v>
      </c>
      <c r="G76" s="16" t="n">
        <v>4.13</v>
      </c>
      <c r="H76" s="17" t="n">
        <v>1000</v>
      </c>
      <c r="I76" s="18" t="n">
        <f aca="false">IF(AND(ISNUMBER(G76),ISNUMBER(H76),H76&gt;0),G76/H76*1000,"")</f>
        <v>4.13</v>
      </c>
      <c r="J76" s="14" t="s">
        <v>49</v>
      </c>
      <c r="K76" s="14" t="s">
        <v>50</v>
      </c>
      <c r="L76" s="13" t="s">
        <v>345</v>
      </c>
    </row>
    <row r="77" customFormat="false" ht="15" hidden="false" customHeight="true" outlineLevel="0" collapsed="false">
      <c r="A77" s="12" t="s">
        <v>346</v>
      </c>
      <c r="B77" s="13" t="s">
        <v>347</v>
      </c>
      <c r="C77" s="13" t="s">
        <v>348</v>
      </c>
      <c r="D77" s="12" t="s">
        <v>46</v>
      </c>
      <c r="E77" s="14" t="s">
        <v>47</v>
      </c>
      <c r="F77" s="15" t="s">
        <v>48</v>
      </c>
      <c r="G77" s="16" t="n">
        <v>2.62</v>
      </c>
      <c r="H77" s="17" t="n">
        <v>1000</v>
      </c>
      <c r="I77" s="18" t="n">
        <f aca="false">IF(AND(ISNUMBER(G77),ISNUMBER(H77),H77&gt;0),G77/H77*1000,"")</f>
        <v>2.62</v>
      </c>
      <c r="J77" s="14" t="s">
        <v>49</v>
      </c>
      <c r="K77" s="14" t="s">
        <v>50</v>
      </c>
      <c r="L77" s="13" t="s">
        <v>349</v>
      </c>
    </row>
    <row r="78" customFormat="false" ht="15" hidden="false" customHeight="true" outlineLevel="0" collapsed="false">
      <c r="A78" s="12" t="s">
        <v>350</v>
      </c>
      <c r="B78" s="13" t="s">
        <v>351</v>
      </c>
      <c r="C78" s="13" t="s">
        <v>352</v>
      </c>
      <c r="D78" s="12" t="s">
        <v>46</v>
      </c>
      <c r="E78" s="14" t="s">
        <v>47</v>
      </c>
      <c r="F78" s="15" t="s">
        <v>48</v>
      </c>
      <c r="G78" s="16" t="n">
        <v>0.67</v>
      </c>
      <c r="H78" s="17" t="n">
        <v>1000</v>
      </c>
      <c r="I78" s="18" t="n">
        <f aca="false">IF(AND(ISNUMBER(G78),ISNUMBER(H78),H78&gt;0),G78/H78*1000,"")</f>
        <v>0.67</v>
      </c>
      <c r="J78" s="14" t="s">
        <v>49</v>
      </c>
      <c r="K78" s="14" t="s">
        <v>50</v>
      </c>
      <c r="L78" s="13" t="s">
        <v>353</v>
      </c>
    </row>
    <row r="79" customFormat="false" ht="15" hidden="false" customHeight="true" outlineLevel="0" collapsed="false">
      <c r="A79" s="12" t="s">
        <v>354</v>
      </c>
      <c r="B79" s="13" t="s">
        <v>355</v>
      </c>
      <c r="C79" s="13" t="s">
        <v>356</v>
      </c>
      <c r="D79" s="12" t="s">
        <v>46</v>
      </c>
      <c r="E79" s="14" t="s">
        <v>47</v>
      </c>
      <c r="F79" s="15" t="s">
        <v>48</v>
      </c>
      <c r="G79" s="16" t="n">
        <v>4.83</v>
      </c>
      <c r="H79" s="17" t="n">
        <v>1000</v>
      </c>
      <c r="I79" s="18" t="n">
        <f aca="false">IF(AND(ISNUMBER(G79),ISNUMBER(H79),H79&gt;0),G79/H79*1000,"")</f>
        <v>4.83</v>
      </c>
      <c r="J79" s="14" t="s">
        <v>49</v>
      </c>
      <c r="K79" s="14" t="s">
        <v>50</v>
      </c>
      <c r="L79" s="13" t="s">
        <v>357</v>
      </c>
    </row>
    <row r="80" customFormat="false" ht="15" hidden="false" customHeight="true" outlineLevel="0" collapsed="false">
      <c r="A80" s="12" t="s">
        <v>358</v>
      </c>
      <c r="B80" s="13" t="s">
        <v>359</v>
      </c>
      <c r="C80" s="13" t="s">
        <v>360</v>
      </c>
      <c r="D80" s="12" t="s">
        <v>46</v>
      </c>
      <c r="E80" s="14" t="s">
        <v>47</v>
      </c>
      <c r="F80" s="15" t="s">
        <v>48</v>
      </c>
      <c r="G80" s="16" t="n">
        <v>2.43</v>
      </c>
      <c r="H80" s="17" t="n">
        <v>1000</v>
      </c>
      <c r="I80" s="18" t="n">
        <f aca="false">IF(AND(ISNUMBER(G80),ISNUMBER(H80),H80&gt;0),G80/H80*1000,"")</f>
        <v>2.43</v>
      </c>
      <c r="J80" s="14" t="s">
        <v>49</v>
      </c>
      <c r="K80" s="14" t="s">
        <v>50</v>
      </c>
      <c r="L80" s="13" t="s">
        <v>361</v>
      </c>
    </row>
    <row r="81" customFormat="false" ht="15" hidden="false" customHeight="true" outlineLevel="0" collapsed="false">
      <c r="A81" s="12" t="s">
        <v>362</v>
      </c>
      <c r="B81" s="13" t="s">
        <v>363</v>
      </c>
      <c r="C81" s="13" t="s">
        <v>364</v>
      </c>
      <c r="D81" s="12" t="s">
        <v>46</v>
      </c>
      <c r="E81" s="14" t="s">
        <v>47</v>
      </c>
      <c r="F81" s="15" t="s">
        <v>48</v>
      </c>
      <c r="G81" s="16" t="n">
        <v>2.47</v>
      </c>
      <c r="H81" s="17" t="n">
        <v>1000</v>
      </c>
      <c r="I81" s="18" t="n">
        <f aca="false">IF(AND(ISNUMBER(G81),ISNUMBER(H81),H81&gt;0),G81/H81*1000,"")</f>
        <v>2.47</v>
      </c>
      <c r="J81" s="14" t="s">
        <v>49</v>
      </c>
      <c r="K81" s="14" t="s">
        <v>50</v>
      </c>
      <c r="L81" s="13" t="s">
        <v>365</v>
      </c>
    </row>
    <row r="82" customFormat="false" ht="15" hidden="false" customHeight="true" outlineLevel="0" collapsed="false">
      <c r="A82" s="12" t="s">
        <v>366</v>
      </c>
      <c r="B82" s="13" t="s">
        <v>367</v>
      </c>
      <c r="C82" s="13" t="s">
        <v>368</v>
      </c>
      <c r="D82" s="12" t="s">
        <v>46</v>
      </c>
      <c r="E82" s="14" t="s">
        <v>47</v>
      </c>
      <c r="F82" s="15" t="s">
        <v>48</v>
      </c>
      <c r="G82" s="16" t="n">
        <v>1.04</v>
      </c>
      <c r="H82" s="17" t="n">
        <v>1000</v>
      </c>
      <c r="I82" s="18" t="n">
        <f aca="false">IF(AND(ISNUMBER(G82),ISNUMBER(H82),H82&gt;0),G82/H82*1000,"")</f>
        <v>1.04</v>
      </c>
      <c r="J82" s="14" t="s">
        <v>49</v>
      </c>
      <c r="K82" s="14" t="s">
        <v>50</v>
      </c>
      <c r="L82" s="13" t="s">
        <v>369</v>
      </c>
    </row>
    <row r="83" customFormat="false" ht="15" hidden="false" customHeight="true" outlineLevel="0" collapsed="false">
      <c r="A83" s="12" t="s">
        <v>370</v>
      </c>
      <c r="B83" s="13" t="s">
        <v>371</v>
      </c>
      <c r="C83" s="13" t="s">
        <v>372</v>
      </c>
      <c r="D83" s="12" t="s">
        <v>46</v>
      </c>
      <c r="E83" s="14" t="s">
        <v>47</v>
      </c>
      <c r="F83" s="15" t="s">
        <v>48</v>
      </c>
      <c r="G83" s="16" t="n">
        <v>27.98</v>
      </c>
      <c r="H83" s="17" t="n">
        <v>1000</v>
      </c>
      <c r="I83" s="18" t="n">
        <f aca="false">IF(AND(ISNUMBER(G83),ISNUMBER(H83),H83&gt;0),G83/H83*1000,"")</f>
        <v>27.98</v>
      </c>
      <c r="J83" s="14" t="s">
        <v>49</v>
      </c>
      <c r="K83" s="14" t="s">
        <v>50</v>
      </c>
      <c r="L83" s="13" t="s">
        <v>373</v>
      </c>
    </row>
    <row r="84" customFormat="false" ht="15" hidden="false" customHeight="true" outlineLevel="0" collapsed="false">
      <c r="A84" s="12" t="s">
        <v>374</v>
      </c>
      <c r="B84" s="13" t="s">
        <v>375</v>
      </c>
      <c r="C84" s="13" t="s">
        <v>376</v>
      </c>
      <c r="D84" s="12" t="s">
        <v>46</v>
      </c>
      <c r="E84" s="14" t="s">
        <v>47</v>
      </c>
      <c r="F84" s="15" t="s">
        <v>48</v>
      </c>
      <c r="G84" s="16" t="n">
        <v>10.61</v>
      </c>
      <c r="H84" s="17" t="n">
        <v>1000</v>
      </c>
      <c r="I84" s="18" t="n">
        <f aca="false">IF(AND(ISNUMBER(G84),ISNUMBER(H84),H84&gt;0),G84/H84*1000,"")</f>
        <v>10.61</v>
      </c>
      <c r="J84" s="14" t="s">
        <v>49</v>
      </c>
      <c r="K84" s="14" t="s">
        <v>50</v>
      </c>
      <c r="L84" s="13" t="s">
        <v>377</v>
      </c>
    </row>
    <row r="85" customFormat="false" ht="15" hidden="false" customHeight="true" outlineLevel="0" collapsed="false">
      <c r="A85" s="12" t="s">
        <v>378</v>
      </c>
      <c r="B85" s="13" t="s">
        <v>379</v>
      </c>
      <c r="C85" s="13" t="s">
        <v>380</v>
      </c>
      <c r="D85" s="12" t="s">
        <v>46</v>
      </c>
      <c r="E85" s="14" t="s">
        <v>47</v>
      </c>
      <c r="F85" s="15" t="s">
        <v>48</v>
      </c>
      <c r="G85" s="16" t="n">
        <v>4.68</v>
      </c>
      <c r="H85" s="17" t="n">
        <v>1000</v>
      </c>
      <c r="I85" s="18" t="n">
        <f aca="false">IF(AND(ISNUMBER(G85),ISNUMBER(H85),H85&gt;0),G85/H85*1000,"")</f>
        <v>4.68</v>
      </c>
      <c r="J85" s="14" t="s">
        <v>49</v>
      </c>
      <c r="K85" s="14" t="s">
        <v>50</v>
      </c>
      <c r="L85" s="13" t="s">
        <v>381</v>
      </c>
    </row>
    <row r="86" customFormat="false" ht="15" hidden="false" customHeight="true" outlineLevel="0" collapsed="false">
      <c r="A86" s="12" t="s">
        <v>382</v>
      </c>
      <c r="B86" s="13" t="s">
        <v>383</v>
      </c>
      <c r="C86" s="13" t="s">
        <v>384</v>
      </c>
      <c r="D86" s="12" t="s">
        <v>46</v>
      </c>
      <c r="E86" s="14" t="s">
        <v>47</v>
      </c>
      <c r="F86" s="15" t="s">
        <v>48</v>
      </c>
      <c r="G86" s="16" t="n">
        <v>15</v>
      </c>
      <c r="H86" s="17" t="n">
        <v>1000</v>
      </c>
      <c r="I86" s="18" t="n">
        <f aca="false">IF(AND(ISNUMBER(G86),ISNUMBER(H86),H86&gt;0),G86/H86*1000,"")</f>
        <v>15</v>
      </c>
      <c r="J86" s="14" t="s">
        <v>49</v>
      </c>
      <c r="K86" s="14" t="s">
        <v>50</v>
      </c>
      <c r="L86" s="13" t="s">
        <v>385</v>
      </c>
    </row>
    <row r="87" customFormat="false" ht="15" hidden="false" customHeight="true" outlineLevel="0" collapsed="false">
      <c r="A87" s="12" t="s">
        <v>386</v>
      </c>
      <c r="B87" s="13" t="s">
        <v>387</v>
      </c>
      <c r="C87" s="13" t="s">
        <v>388</v>
      </c>
      <c r="D87" s="12" t="s">
        <v>46</v>
      </c>
      <c r="E87" s="14" t="s">
        <v>47</v>
      </c>
      <c r="F87" s="15" t="s">
        <v>48</v>
      </c>
      <c r="G87" s="16" t="n">
        <v>1.58</v>
      </c>
      <c r="H87" s="17" t="n">
        <v>1000</v>
      </c>
      <c r="I87" s="18" t="n">
        <f aca="false">IF(AND(ISNUMBER(G87),ISNUMBER(H87),H87&gt;0),G87/H87*1000,"")</f>
        <v>1.58</v>
      </c>
      <c r="J87" s="14" t="s">
        <v>49</v>
      </c>
      <c r="K87" s="14" t="s">
        <v>50</v>
      </c>
      <c r="L87" s="13" t="s">
        <v>341</v>
      </c>
    </row>
    <row r="88" customFormat="false" ht="15" hidden="false" customHeight="true" outlineLevel="0" collapsed="false">
      <c r="A88" s="12" t="s">
        <v>389</v>
      </c>
      <c r="B88" s="13" t="s">
        <v>390</v>
      </c>
      <c r="C88" s="13" t="s">
        <v>391</v>
      </c>
      <c r="D88" s="12" t="s">
        <v>46</v>
      </c>
      <c r="E88" s="14" t="s">
        <v>47</v>
      </c>
      <c r="F88" s="15" t="s">
        <v>48</v>
      </c>
      <c r="G88" s="16" t="n">
        <v>11.36</v>
      </c>
      <c r="H88" s="17" t="n">
        <v>1000</v>
      </c>
      <c r="I88" s="18" t="n">
        <f aca="false">IF(AND(ISNUMBER(G88),ISNUMBER(H88),H88&gt;0),G88/H88*1000,"")</f>
        <v>11.36</v>
      </c>
      <c r="J88" s="14" t="s">
        <v>49</v>
      </c>
      <c r="K88" s="14" t="s">
        <v>50</v>
      </c>
      <c r="L88" s="13" t="s">
        <v>392</v>
      </c>
    </row>
    <row r="89" customFormat="false" ht="15" hidden="false" customHeight="true" outlineLevel="0" collapsed="false">
      <c r="A89" s="12" t="s">
        <v>393</v>
      </c>
      <c r="B89" s="13" t="s">
        <v>394</v>
      </c>
      <c r="C89" s="13" t="s">
        <v>395</v>
      </c>
      <c r="D89" s="12" t="s">
        <v>46</v>
      </c>
      <c r="E89" s="14" t="s">
        <v>47</v>
      </c>
      <c r="F89" s="15" t="s">
        <v>48</v>
      </c>
      <c r="G89" s="16" t="n">
        <v>4.44</v>
      </c>
      <c r="H89" s="17" t="n">
        <v>1000</v>
      </c>
      <c r="I89" s="18" t="n">
        <f aca="false">IF(AND(ISNUMBER(G89),ISNUMBER(H89),H89&gt;0),G89/H89*1000,"")</f>
        <v>4.44</v>
      </c>
      <c r="J89" s="14" t="s">
        <v>49</v>
      </c>
      <c r="K89" s="14" t="s">
        <v>50</v>
      </c>
      <c r="L89" s="13" t="s">
        <v>396</v>
      </c>
    </row>
    <row r="90" customFormat="false" ht="15" hidden="false" customHeight="true" outlineLevel="0" collapsed="false">
      <c r="A90" s="12" t="s">
        <v>397</v>
      </c>
      <c r="B90" s="13" t="s">
        <v>398</v>
      </c>
      <c r="C90" s="13" t="s">
        <v>399</v>
      </c>
      <c r="D90" s="12" t="s">
        <v>46</v>
      </c>
      <c r="E90" s="14" t="s">
        <v>47</v>
      </c>
      <c r="F90" s="15" t="s">
        <v>48</v>
      </c>
      <c r="G90" s="16" t="n">
        <v>8.67</v>
      </c>
      <c r="H90" s="17" t="n">
        <v>1000</v>
      </c>
      <c r="I90" s="18" t="n">
        <f aca="false">IF(AND(ISNUMBER(G90),ISNUMBER(H90),H90&gt;0),G90/H90*1000,"")</f>
        <v>8.67</v>
      </c>
      <c r="J90" s="14" t="s">
        <v>49</v>
      </c>
      <c r="K90" s="14" t="s">
        <v>50</v>
      </c>
      <c r="L90" s="13" t="s">
        <v>400</v>
      </c>
    </row>
    <row r="91" customFormat="false" ht="15" hidden="false" customHeight="true" outlineLevel="0" collapsed="false">
      <c r="A91" s="12" t="s">
        <v>401</v>
      </c>
      <c r="B91" s="13" t="s">
        <v>402</v>
      </c>
      <c r="C91" s="13" t="s">
        <v>403</v>
      </c>
      <c r="D91" s="12" t="s">
        <v>46</v>
      </c>
      <c r="E91" s="14" t="s">
        <v>47</v>
      </c>
      <c r="F91" s="15" t="s">
        <v>48</v>
      </c>
      <c r="G91" s="16" t="n">
        <v>3.59</v>
      </c>
      <c r="H91" s="17" t="n">
        <v>1000</v>
      </c>
      <c r="I91" s="18" t="n">
        <f aca="false">IF(AND(ISNUMBER(G91),ISNUMBER(H91),H91&gt;0),G91/H91*1000,"")</f>
        <v>3.59</v>
      </c>
      <c r="J91" s="14" t="s">
        <v>49</v>
      </c>
      <c r="K91" s="14" t="s">
        <v>50</v>
      </c>
      <c r="L91" s="13" t="s">
        <v>404</v>
      </c>
    </row>
    <row r="92" customFormat="false" ht="15" hidden="false" customHeight="true" outlineLevel="0" collapsed="false">
      <c r="A92" s="12" t="s">
        <v>405</v>
      </c>
      <c r="B92" s="13" t="s">
        <v>406</v>
      </c>
      <c r="C92" s="13" t="s">
        <v>407</v>
      </c>
      <c r="D92" s="12" t="s">
        <v>46</v>
      </c>
      <c r="E92" s="14" t="s">
        <v>47</v>
      </c>
      <c r="F92" s="15" t="s">
        <v>48</v>
      </c>
      <c r="G92" s="16" t="n">
        <v>10.61</v>
      </c>
      <c r="H92" s="17" t="n">
        <v>1000</v>
      </c>
      <c r="I92" s="18" t="n">
        <f aca="false">IF(AND(ISNUMBER(G92),ISNUMBER(H92),H92&gt;0),G92/H92*1000,"")</f>
        <v>10.61</v>
      </c>
      <c r="J92" s="14" t="s">
        <v>49</v>
      </c>
      <c r="K92" s="14" t="s">
        <v>50</v>
      </c>
      <c r="L92" s="13" t="s">
        <v>377</v>
      </c>
    </row>
    <row r="93" customFormat="false" ht="15" hidden="false" customHeight="true" outlineLevel="0" collapsed="false">
      <c r="A93" s="12" t="s">
        <v>408</v>
      </c>
      <c r="B93" s="13" t="s">
        <v>409</v>
      </c>
      <c r="C93" s="13" t="s">
        <v>410</v>
      </c>
      <c r="D93" s="12" t="s">
        <v>46</v>
      </c>
      <c r="E93" s="14" t="s">
        <v>47</v>
      </c>
      <c r="F93" s="15" t="s">
        <v>48</v>
      </c>
      <c r="G93" s="16" t="n">
        <v>10.61</v>
      </c>
      <c r="H93" s="17" t="n">
        <v>1000</v>
      </c>
      <c r="I93" s="18" t="n">
        <f aca="false">IF(AND(ISNUMBER(G93),ISNUMBER(H93),H93&gt;0),G93/H93*1000,"")</f>
        <v>10.61</v>
      </c>
      <c r="J93" s="14" t="s">
        <v>49</v>
      </c>
      <c r="K93" s="14" t="s">
        <v>50</v>
      </c>
      <c r="L93" s="13" t="s">
        <v>377</v>
      </c>
    </row>
    <row r="94" customFormat="false" ht="23.25" hidden="false" customHeight="true" outlineLevel="0" collapsed="false">
      <c r="A94" s="12" t="s">
        <v>411</v>
      </c>
      <c r="B94" s="13" t="s">
        <v>412</v>
      </c>
      <c r="C94" s="13" t="s">
        <v>413</v>
      </c>
      <c r="D94" s="12" t="s">
        <v>46</v>
      </c>
      <c r="E94" s="14" t="s">
        <v>414</v>
      </c>
      <c r="F94" s="15" t="s">
        <v>415</v>
      </c>
      <c r="G94" s="16" t="n">
        <v>0.2307</v>
      </c>
      <c r="H94" s="17" t="n">
        <v>1000</v>
      </c>
      <c r="I94" s="18" t="n">
        <f aca="false">IF(AND(ISNUMBER(G94),ISNUMBER(H94),H94&gt;0),G94/H94*1000,"")</f>
        <v>0.2307</v>
      </c>
      <c r="J94" s="14" t="s">
        <v>416</v>
      </c>
      <c r="K94" s="14" t="s">
        <v>50</v>
      </c>
      <c r="L94" s="13" t="s">
        <v>417</v>
      </c>
    </row>
    <row r="95" customFormat="false" ht="15" hidden="false" customHeight="true" outlineLevel="0" collapsed="false">
      <c r="A95" s="12" t="s">
        <v>418</v>
      </c>
      <c r="B95" s="13" t="s">
        <v>419</v>
      </c>
      <c r="C95" s="13" t="s">
        <v>420</v>
      </c>
      <c r="D95" s="12" t="s">
        <v>46</v>
      </c>
      <c r="E95" s="14" t="s">
        <v>102</v>
      </c>
      <c r="F95" s="15" t="s">
        <v>48</v>
      </c>
      <c r="G95" s="16" t="n">
        <v>9.58</v>
      </c>
      <c r="H95" s="17" t="n">
        <v>1000</v>
      </c>
      <c r="I95" s="18" t="n">
        <f aca="false">IF(AND(ISNUMBER(G95),ISNUMBER(H95),H95&gt;0),G95/H95*1000,"")</f>
        <v>9.58</v>
      </c>
      <c r="J95" s="14" t="s">
        <v>103</v>
      </c>
      <c r="K95" s="14" t="s">
        <v>50</v>
      </c>
      <c r="L95" s="13" t="s">
        <v>421</v>
      </c>
    </row>
    <row r="96" customFormat="false" ht="15" hidden="false" customHeight="true" outlineLevel="0" collapsed="false">
      <c r="A96" s="12" t="s">
        <v>422</v>
      </c>
      <c r="B96" s="13" t="s">
        <v>423</v>
      </c>
      <c r="C96" s="13" t="s">
        <v>424</v>
      </c>
      <c r="D96" s="12" t="s">
        <v>46</v>
      </c>
      <c r="E96" s="14" t="s">
        <v>47</v>
      </c>
      <c r="F96" s="15" t="s">
        <v>48</v>
      </c>
      <c r="G96" s="16" t="n">
        <v>2.4</v>
      </c>
      <c r="H96" s="17" t="n">
        <v>1000</v>
      </c>
      <c r="I96" s="18" t="n">
        <f aca="false">IF(AND(ISNUMBER(G96),ISNUMBER(H96),H96&gt;0),G96/H96*1000,"")</f>
        <v>2.4</v>
      </c>
      <c r="J96" s="14" t="s">
        <v>49</v>
      </c>
      <c r="K96" s="14" t="s">
        <v>50</v>
      </c>
      <c r="L96" s="13" t="s">
        <v>425</v>
      </c>
    </row>
    <row r="97" customFormat="false" ht="15" hidden="false" customHeight="true" outlineLevel="0" collapsed="false">
      <c r="A97" s="12" t="s">
        <v>426</v>
      </c>
      <c r="B97" s="13" t="s">
        <v>427</v>
      </c>
      <c r="C97" s="13" t="s">
        <v>428</v>
      </c>
      <c r="D97" s="12" t="s">
        <v>46</v>
      </c>
      <c r="E97" s="14" t="s">
        <v>47</v>
      </c>
      <c r="F97" s="15" t="s">
        <v>48</v>
      </c>
      <c r="G97" s="16" t="n">
        <v>13.83</v>
      </c>
      <c r="H97" s="17" t="n">
        <v>1000</v>
      </c>
      <c r="I97" s="18" t="n">
        <f aca="false">IF(AND(ISNUMBER(G97),ISNUMBER(H97),H97&gt;0),G97/H97*1000,"")</f>
        <v>13.83</v>
      </c>
      <c r="J97" s="14" t="s">
        <v>49</v>
      </c>
      <c r="K97" s="14" t="s">
        <v>50</v>
      </c>
      <c r="L97" s="13" t="s">
        <v>429</v>
      </c>
    </row>
    <row r="98" customFormat="false" ht="15" hidden="false" customHeight="true" outlineLevel="0" collapsed="false">
      <c r="A98" s="12" t="s">
        <v>430</v>
      </c>
      <c r="B98" s="13" t="s">
        <v>431</v>
      </c>
      <c r="C98" s="13" t="s">
        <v>432</v>
      </c>
      <c r="D98" s="12" t="s">
        <v>46</v>
      </c>
      <c r="E98" s="14" t="s">
        <v>47</v>
      </c>
      <c r="F98" s="15" t="s">
        <v>48</v>
      </c>
      <c r="G98" s="16" t="n">
        <v>9.47</v>
      </c>
      <c r="H98" s="17" t="n">
        <v>1000</v>
      </c>
      <c r="I98" s="18" t="n">
        <f aca="false">IF(AND(ISNUMBER(G98),ISNUMBER(H98),H98&gt;0),G98/H98*1000,"")</f>
        <v>9.47</v>
      </c>
      <c r="J98" s="14" t="s">
        <v>49</v>
      </c>
      <c r="K98" s="14" t="s">
        <v>50</v>
      </c>
      <c r="L98" s="13" t="s">
        <v>433</v>
      </c>
    </row>
    <row r="99" customFormat="false" ht="15" hidden="false" customHeight="true" outlineLevel="0" collapsed="false">
      <c r="A99" s="12" t="s">
        <v>434</v>
      </c>
      <c r="B99" s="13" t="s">
        <v>435</v>
      </c>
      <c r="C99" s="13" t="s">
        <v>436</v>
      </c>
      <c r="D99" s="12" t="s">
        <v>46</v>
      </c>
      <c r="E99" s="14" t="s">
        <v>47</v>
      </c>
      <c r="F99" s="15" t="s">
        <v>48</v>
      </c>
      <c r="G99" s="16" t="n">
        <v>14.59</v>
      </c>
      <c r="H99" s="17" t="n">
        <v>1000</v>
      </c>
      <c r="I99" s="18" t="n">
        <f aca="false">IF(AND(ISNUMBER(G99),ISNUMBER(H99),H99&gt;0),G99/H99*1000,"")</f>
        <v>14.59</v>
      </c>
      <c r="J99" s="14" t="s">
        <v>49</v>
      </c>
      <c r="K99" s="14" t="s">
        <v>50</v>
      </c>
      <c r="L99" s="13" t="s">
        <v>437</v>
      </c>
    </row>
    <row r="100" customFormat="false" ht="15" hidden="false" customHeight="true" outlineLevel="0" collapsed="false">
      <c r="A100" s="12" t="s">
        <v>438</v>
      </c>
      <c r="B100" s="13" t="s">
        <v>439</v>
      </c>
      <c r="C100" s="13" t="s">
        <v>440</v>
      </c>
      <c r="D100" s="12" t="s">
        <v>46</v>
      </c>
      <c r="E100" s="14" t="s">
        <v>47</v>
      </c>
      <c r="F100" s="15" t="s">
        <v>48</v>
      </c>
      <c r="G100" s="16" t="n">
        <v>4.9</v>
      </c>
      <c r="H100" s="17" t="n">
        <v>1000</v>
      </c>
      <c r="I100" s="18" t="n">
        <f aca="false">IF(AND(ISNUMBER(G100),ISNUMBER(H100),H100&gt;0),G100/H100*1000,"")</f>
        <v>4.9</v>
      </c>
      <c r="J100" s="14" t="s">
        <v>49</v>
      </c>
      <c r="K100" s="14" t="s">
        <v>50</v>
      </c>
      <c r="L100" s="13" t="s">
        <v>441</v>
      </c>
    </row>
    <row r="101" customFormat="false" ht="15" hidden="false" customHeight="true" outlineLevel="0" collapsed="false">
      <c r="A101" s="12" t="s">
        <v>442</v>
      </c>
      <c r="B101" s="13" t="s">
        <v>443</v>
      </c>
      <c r="C101" s="13" t="s">
        <v>444</v>
      </c>
      <c r="D101" s="12" t="s">
        <v>46</v>
      </c>
      <c r="E101" s="14" t="s">
        <v>47</v>
      </c>
      <c r="F101" s="15" t="s">
        <v>48</v>
      </c>
      <c r="G101" s="16" t="n">
        <v>19.13</v>
      </c>
      <c r="H101" s="17" t="n">
        <v>1000</v>
      </c>
      <c r="I101" s="18" t="n">
        <f aca="false">IF(AND(ISNUMBER(G101),ISNUMBER(H101),H101&gt;0),G101/H101*1000,"")</f>
        <v>19.13</v>
      </c>
      <c r="J101" s="14" t="s">
        <v>49</v>
      </c>
      <c r="K101" s="14" t="s">
        <v>50</v>
      </c>
      <c r="L101" s="13" t="s">
        <v>445</v>
      </c>
    </row>
    <row r="102" customFormat="false" ht="15" hidden="false" customHeight="true" outlineLevel="0" collapsed="false">
      <c r="A102" s="12" t="s">
        <v>446</v>
      </c>
      <c r="B102" s="13" t="s">
        <v>447</v>
      </c>
      <c r="C102" s="13" t="s">
        <v>448</v>
      </c>
      <c r="D102" s="12" t="s">
        <v>46</v>
      </c>
      <c r="E102" s="14" t="s">
        <v>47</v>
      </c>
      <c r="F102" s="15" t="s">
        <v>48</v>
      </c>
      <c r="G102" s="16" t="n">
        <v>5.13</v>
      </c>
      <c r="H102" s="17" t="n">
        <v>1000</v>
      </c>
      <c r="I102" s="18" t="n">
        <f aca="false">IF(AND(ISNUMBER(G102),ISNUMBER(H102),H102&gt;0),G102/H102*1000,"")</f>
        <v>5.13</v>
      </c>
      <c r="J102" s="14" t="s">
        <v>49</v>
      </c>
      <c r="K102" s="14" t="s">
        <v>50</v>
      </c>
      <c r="L102" s="13" t="s">
        <v>449</v>
      </c>
    </row>
    <row r="103" customFormat="false" ht="15" hidden="false" customHeight="true" outlineLevel="0" collapsed="false">
      <c r="A103" s="12" t="s">
        <v>450</v>
      </c>
      <c r="B103" s="13" t="s">
        <v>451</v>
      </c>
      <c r="C103" s="13" t="s">
        <v>452</v>
      </c>
      <c r="D103" s="12" t="s">
        <v>46</v>
      </c>
      <c r="E103" s="14" t="s">
        <v>47</v>
      </c>
      <c r="F103" s="15" t="s">
        <v>48</v>
      </c>
      <c r="G103" s="16" t="n">
        <v>11.78</v>
      </c>
      <c r="H103" s="17" t="n">
        <v>1000</v>
      </c>
      <c r="I103" s="18" t="n">
        <f aca="false">IF(AND(ISNUMBER(G103),ISNUMBER(H103),H103&gt;0),G103/H103*1000,"")</f>
        <v>11.78</v>
      </c>
      <c r="J103" s="14" t="s">
        <v>49</v>
      </c>
      <c r="K103" s="14" t="s">
        <v>50</v>
      </c>
      <c r="L103" s="13" t="s">
        <v>453</v>
      </c>
    </row>
    <row r="104" customFormat="false" ht="15" hidden="false" customHeight="true" outlineLevel="0" collapsed="false">
      <c r="A104" s="12" t="s">
        <v>454</v>
      </c>
      <c r="B104" s="13" t="s">
        <v>455</v>
      </c>
      <c r="C104" s="13" t="s">
        <v>456</v>
      </c>
      <c r="D104" s="12" t="s">
        <v>46</v>
      </c>
      <c r="E104" s="14" t="s">
        <v>47</v>
      </c>
      <c r="F104" s="15" t="s">
        <v>48</v>
      </c>
      <c r="G104" s="16" t="n">
        <v>6.97</v>
      </c>
      <c r="H104" s="17" t="n">
        <v>1000</v>
      </c>
      <c r="I104" s="18" t="n">
        <f aca="false">IF(AND(ISNUMBER(G104),ISNUMBER(H104),H104&gt;0),G104/H104*1000,"")</f>
        <v>6.97</v>
      </c>
      <c r="J104" s="14" t="s">
        <v>49</v>
      </c>
      <c r="K104" s="14" t="s">
        <v>50</v>
      </c>
      <c r="L104" s="13" t="s">
        <v>457</v>
      </c>
    </row>
    <row r="105" customFormat="false" ht="15" hidden="false" customHeight="true" outlineLevel="0" collapsed="false">
      <c r="A105" s="12" t="s">
        <v>458</v>
      </c>
      <c r="B105" s="13" t="s">
        <v>459</v>
      </c>
      <c r="C105" s="13" t="s">
        <v>460</v>
      </c>
      <c r="D105" s="12" t="s">
        <v>461</v>
      </c>
      <c r="E105" s="12" t="s">
        <v>80</v>
      </c>
      <c r="F105" s="13" t="s">
        <v>462</v>
      </c>
      <c r="G105" s="16" t="n">
        <v>3.93</v>
      </c>
      <c r="H105" s="17" t="n">
        <v>696</v>
      </c>
      <c r="I105" s="18" t="n">
        <f aca="false">IF(AND(ISNUMBER(G105),ISNUMBER(H105),H105&gt;0),G105/H105*1000,"")</f>
        <v>5.64655172413793</v>
      </c>
      <c r="J105" s="12"/>
      <c r="K105" s="12"/>
      <c r="L105" s="13" t="s">
        <v>463</v>
      </c>
    </row>
    <row r="106" customFormat="false" ht="15" hidden="false" customHeight="true" outlineLevel="0" collapsed="false">
      <c r="A106" s="12" t="s">
        <v>464</v>
      </c>
      <c r="B106" s="13" t="s">
        <v>465</v>
      </c>
      <c r="C106" s="13" t="s">
        <v>466</v>
      </c>
      <c r="D106" s="12" t="s">
        <v>46</v>
      </c>
      <c r="E106" s="12" t="s">
        <v>102</v>
      </c>
      <c r="F106" s="13" t="s">
        <v>48</v>
      </c>
      <c r="G106" s="16" t="n">
        <v>5.88</v>
      </c>
      <c r="H106" s="17" t="n">
        <v>1000</v>
      </c>
      <c r="I106" s="18" t="n">
        <f aca="false">IF(AND(ISNUMBER(G106),ISNUMBER(H106),H106&gt;0),G106/H106*1000,"")</f>
        <v>5.88</v>
      </c>
      <c r="J106" s="12" t="s">
        <v>131</v>
      </c>
      <c r="K106" s="12" t="s">
        <v>50</v>
      </c>
      <c r="L106" s="13" t="s">
        <v>467</v>
      </c>
    </row>
    <row r="107" customFormat="false" ht="15" hidden="false" customHeight="true" outlineLevel="0" collapsed="false">
      <c r="A107" s="12" t="s">
        <v>468</v>
      </c>
      <c r="B107" s="13" t="s">
        <v>469</v>
      </c>
      <c r="C107" s="13" t="s">
        <v>470</v>
      </c>
      <c r="D107" s="12" t="s">
        <v>46</v>
      </c>
      <c r="E107" s="12" t="s">
        <v>47</v>
      </c>
      <c r="F107" s="13" t="s">
        <v>48</v>
      </c>
      <c r="G107" s="16" t="n">
        <v>2.01</v>
      </c>
      <c r="H107" s="17" t="n">
        <v>1000</v>
      </c>
      <c r="I107" s="18" t="n">
        <f aca="false">IF(AND(ISNUMBER(G107),ISNUMBER(H107),H107&gt;0),G107/H107*1000,"")</f>
        <v>2.01</v>
      </c>
      <c r="J107" s="12" t="s">
        <v>49</v>
      </c>
      <c r="K107" s="12" t="s">
        <v>50</v>
      </c>
      <c r="L107" s="13" t="s">
        <v>471</v>
      </c>
    </row>
    <row r="108" customFormat="false" ht="15" hidden="false" customHeight="true" outlineLevel="0" collapsed="false">
      <c r="A108" s="12" t="s">
        <v>472</v>
      </c>
      <c r="B108" s="13" t="s">
        <v>473</v>
      </c>
      <c r="C108" s="13" t="s">
        <v>474</v>
      </c>
      <c r="D108" s="12" t="s">
        <v>46</v>
      </c>
      <c r="E108" s="12" t="s">
        <v>47</v>
      </c>
      <c r="F108" s="13" t="s">
        <v>48</v>
      </c>
      <c r="G108" s="16" t="n">
        <v>1.65</v>
      </c>
      <c r="H108" s="17" t="n">
        <v>1000</v>
      </c>
      <c r="I108" s="18" t="n">
        <f aca="false">IF(AND(ISNUMBER(G108),ISNUMBER(H108),H108&gt;0),G108/H108*1000,"")</f>
        <v>1.65</v>
      </c>
      <c r="J108" s="12" t="s">
        <v>49</v>
      </c>
      <c r="K108" s="12" t="s">
        <v>50</v>
      </c>
      <c r="L108" s="13" t="s">
        <v>475</v>
      </c>
    </row>
    <row r="109" customFormat="false" ht="15" hidden="false" customHeight="true" outlineLevel="0" collapsed="false">
      <c r="A109" s="12" t="s">
        <v>476</v>
      </c>
      <c r="B109" s="13" t="s">
        <v>477</v>
      </c>
      <c r="C109" s="13" t="s">
        <v>478</v>
      </c>
      <c r="D109" s="12" t="s">
        <v>46</v>
      </c>
      <c r="E109" s="12" t="s">
        <v>47</v>
      </c>
      <c r="F109" s="13" t="s">
        <v>48</v>
      </c>
      <c r="G109" s="16" t="n">
        <v>3.29</v>
      </c>
      <c r="H109" s="17" t="n">
        <v>1000</v>
      </c>
      <c r="I109" s="18" t="n">
        <f aca="false">IF(AND(ISNUMBER(G109),ISNUMBER(H109),H109&gt;0),G109/H109*1000,"")</f>
        <v>3.29</v>
      </c>
      <c r="J109" s="12" t="s">
        <v>49</v>
      </c>
      <c r="K109" s="12" t="s">
        <v>50</v>
      </c>
      <c r="L109" s="13" t="s">
        <v>479</v>
      </c>
    </row>
    <row r="110" customFormat="false" ht="15" hidden="false" customHeight="true" outlineLevel="0" collapsed="false">
      <c r="A110" s="12" t="s">
        <v>480</v>
      </c>
      <c r="B110" s="13" t="s">
        <v>481</v>
      </c>
      <c r="C110" s="13" t="s">
        <v>482</v>
      </c>
      <c r="D110" s="12" t="s">
        <v>46</v>
      </c>
      <c r="E110" s="12" t="s">
        <v>102</v>
      </c>
      <c r="F110" s="13" t="s">
        <v>48</v>
      </c>
      <c r="G110" s="16" t="n">
        <v>5.88</v>
      </c>
      <c r="H110" s="17" t="n">
        <v>1000</v>
      </c>
      <c r="I110" s="18" t="n">
        <f aca="false">IF(AND(ISNUMBER(G110),ISNUMBER(H110),H110&gt;0),G110/H110*1000,"")</f>
        <v>5.88</v>
      </c>
      <c r="J110" s="12" t="s">
        <v>131</v>
      </c>
      <c r="K110" s="12" t="s">
        <v>50</v>
      </c>
      <c r="L110" s="13" t="s">
        <v>483</v>
      </c>
    </row>
    <row r="111" customFormat="false" ht="15" hidden="false" customHeight="true" outlineLevel="0" collapsed="false">
      <c r="A111" s="12" t="s">
        <v>484</v>
      </c>
      <c r="B111" s="13" t="s">
        <v>485</v>
      </c>
      <c r="C111" s="13" t="s">
        <v>486</v>
      </c>
      <c r="D111" s="12" t="s">
        <v>46</v>
      </c>
      <c r="E111" s="12" t="s">
        <v>47</v>
      </c>
      <c r="F111" s="13" t="s">
        <v>48</v>
      </c>
      <c r="G111" s="16" t="n">
        <v>5.88</v>
      </c>
      <c r="H111" s="17" t="n">
        <v>1000</v>
      </c>
      <c r="I111" s="18" t="n">
        <f aca="false">IF(AND(ISNUMBER(G111),ISNUMBER(H111),H111&gt;0),G111/H111*1000,"")</f>
        <v>5.88</v>
      </c>
      <c r="J111" s="12" t="s">
        <v>49</v>
      </c>
      <c r="K111" s="12" t="s">
        <v>50</v>
      </c>
      <c r="L111" s="13" t="s">
        <v>487</v>
      </c>
    </row>
    <row r="112" customFormat="false" ht="15" hidden="false" customHeight="true" outlineLevel="0" collapsed="false">
      <c r="A112" s="12" t="s">
        <v>488</v>
      </c>
      <c r="B112" s="13" t="s">
        <v>489</v>
      </c>
      <c r="C112" s="13" t="s">
        <v>490</v>
      </c>
      <c r="D112" s="12" t="s">
        <v>46</v>
      </c>
      <c r="E112" s="12" t="s">
        <v>47</v>
      </c>
      <c r="F112" s="13" t="s">
        <v>48</v>
      </c>
      <c r="G112" s="16" t="n">
        <v>0.98</v>
      </c>
      <c r="H112" s="17" t="n">
        <v>1000</v>
      </c>
      <c r="I112" s="18" t="n">
        <f aca="false">IF(AND(ISNUMBER(G112),ISNUMBER(H112),H112&gt;0),G112/H112*1000,"")</f>
        <v>0.98</v>
      </c>
      <c r="J112" s="12" t="s">
        <v>49</v>
      </c>
      <c r="K112" s="12" t="s">
        <v>50</v>
      </c>
      <c r="L112" s="13" t="s">
        <v>491</v>
      </c>
    </row>
    <row r="113" customFormat="false" ht="15" hidden="false" customHeight="true" outlineLevel="0" collapsed="false">
      <c r="A113" s="12" t="s">
        <v>492</v>
      </c>
      <c r="B113" s="13" t="s">
        <v>493</v>
      </c>
      <c r="C113" s="13" t="s">
        <v>494</v>
      </c>
      <c r="D113" s="12" t="s">
        <v>46</v>
      </c>
      <c r="E113" s="12" t="s">
        <v>102</v>
      </c>
      <c r="F113" s="13" t="s">
        <v>48</v>
      </c>
      <c r="G113" s="16" t="n">
        <v>2.67</v>
      </c>
      <c r="H113" s="17" t="n">
        <v>1000</v>
      </c>
      <c r="I113" s="18" t="n">
        <f aca="false">IF(AND(ISNUMBER(G113),ISNUMBER(H113),H113&gt;0),G113/H113*1000,"")</f>
        <v>2.67</v>
      </c>
      <c r="J113" s="12" t="s">
        <v>103</v>
      </c>
      <c r="K113" s="12" t="s">
        <v>50</v>
      </c>
      <c r="L113" s="13" t="s">
        <v>495</v>
      </c>
    </row>
    <row r="114" customFormat="false" ht="15" hidden="false" customHeight="true" outlineLevel="0" collapsed="false">
      <c r="A114" s="12" t="s">
        <v>496</v>
      </c>
      <c r="B114" s="13" t="s">
        <v>497</v>
      </c>
      <c r="C114" s="13" t="s">
        <v>498</v>
      </c>
      <c r="D114" s="12" t="s">
        <v>46</v>
      </c>
      <c r="E114" s="12" t="s">
        <v>102</v>
      </c>
      <c r="F114" s="13" t="s">
        <v>48</v>
      </c>
      <c r="G114" s="16" t="n">
        <v>2.8</v>
      </c>
      <c r="H114" s="17" t="n">
        <v>1000</v>
      </c>
      <c r="I114" s="18" t="n">
        <f aca="false">IF(AND(ISNUMBER(G114),ISNUMBER(H114),H114&gt;0),G114/H114*1000,"")</f>
        <v>2.8</v>
      </c>
      <c r="J114" s="12" t="s">
        <v>165</v>
      </c>
      <c r="K114" s="12" t="s">
        <v>50</v>
      </c>
      <c r="L114" s="13" t="s">
        <v>499</v>
      </c>
    </row>
    <row r="115" customFormat="false" ht="15" hidden="false" customHeight="true" outlineLevel="0" collapsed="false">
      <c r="A115" s="12" t="s">
        <v>500</v>
      </c>
      <c r="B115" s="13" t="s">
        <v>501</v>
      </c>
      <c r="C115" s="13" t="s">
        <v>502</v>
      </c>
      <c r="D115" s="12" t="s">
        <v>46</v>
      </c>
      <c r="E115" s="12" t="s">
        <v>47</v>
      </c>
      <c r="F115" s="13" t="s">
        <v>48</v>
      </c>
      <c r="G115" s="16" t="n">
        <v>6.08</v>
      </c>
      <c r="H115" s="17" t="n">
        <v>1000</v>
      </c>
      <c r="I115" s="18" t="n">
        <f aca="false">IF(AND(ISNUMBER(G115),ISNUMBER(H115),H115&gt;0),G115/H115*1000,"")</f>
        <v>6.08</v>
      </c>
      <c r="J115" s="12" t="s">
        <v>49</v>
      </c>
      <c r="K115" s="12" t="s">
        <v>50</v>
      </c>
      <c r="L115" s="13" t="s">
        <v>503</v>
      </c>
    </row>
    <row r="116" customFormat="false" ht="15" hidden="false" customHeight="true" outlineLevel="0" collapsed="false">
      <c r="A116" s="12" t="s">
        <v>504</v>
      </c>
      <c r="B116" s="13" t="s">
        <v>505</v>
      </c>
      <c r="C116" s="13" t="s">
        <v>506</v>
      </c>
      <c r="D116" s="12" t="s">
        <v>79</v>
      </c>
      <c r="E116" s="12" t="s">
        <v>80</v>
      </c>
      <c r="F116" s="13" t="s">
        <v>507</v>
      </c>
      <c r="G116" s="19" t="n">
        <v>0.99</v>
      </c>
      <c r="H116" s="17" t="n">
        <v>500</v>
      </c>
      <c r="I116" s="18" t="n">
        <f aca="false">IF(AND(ISNUMBER(G116),ISNUMBER(H116),H116&gt;0),G116/H116*1000,"")</f>
        <v>1.98</v>
      </c>
      <c r="J116" s="12"/>
      <c r="K116" s="12"/>
      <c r="L116" s="13" t="s">
        <v>508</v>
      </c>
    </row>
    <row r="117" customFormat="false" ht="15" hidden="false" customHeight="true" outlineLevel="0" collapsed="false">
      <c r="A117" s="12" t="s">
        <v>509</v>
      </c>
      <c r="B117" s="13" t="s">
        <v>510</v>
      </c>
      <c r="C117" s="13" t="s">
        <v>511</v>
      </c>
      <c r="D117" s="12" t="s">
        <v>79</v>
      </c>
      <c r="E117" s="12" t="s">
        <v>80</v>
      </c>
      <c r="F117" s="13" t="s">
        <v>512</v>
      </c>
      <c r="G117" s="19" t="n">
        <v>1.39</v>
      </c>
      <c r="H117" s="17" t="n">
        <v>300</v>
      </c>
      <c r="I117" s="18" t="n">
        <f aca="false">IF(AND(ISNUMBER(G117),ISNUMBER(H117),H117&gt;0),G117/H117*1000,"")</f>
        <v>4.63333333333333</v>
      </c>
      <c r="J117" s="12"/>
      <c r="K117" s="12"/>
      <c r="L117" s="13" t="s">
        <v>513</v>
      </c>
    </row>
    <row r="118" customFormat="false" ht="15" hidden="false" customHeight="true" outlineLevel="0" collapsed="false">
      <c r="A118" s="12" t="s">
        <v>514</v>
      </c>
      <c r="B118" s="13" t="s">
        <v>515</v>
      </c>
      <c r="C118" s="13" t="s">
        <v>516</v>
      </c>
      <c r="D118" s="12" t="s">
        <v>79</v>
      </c>
      <c r="E118" s="12" t="s">
        <v>80</v>
      </c>
      <c r="F118" s="13" t="s">
        <v>517</v>
      </c>
      <c r="G118" s="19" t="n">
        <v>1.01</v>
      </c>
      <c r="H118" s="17" t="n">
        <v>1500</v>
      </c>
      <c r="I118" s="18" t="n">
        <f aca="false">IF(AND(ISNUMBER(G118),ISNUMBER(H118),H118&gt;0),G118/H118*1000,"")</f>
        <v>0.673333333333333</v>
      </c>
      <c r="J118" s="12"/>
      <c r="K118" s="12"/>
      <c r="L118" s="13" t="s">
        <v>518</v>
      </c>
    </row>
    <row r="119" customFormat="false" ht="15" hidden="false" customHeight="true" outlineLevel="0" collapsed="false">
      <c r="A119" s="12" t="s">
        <v>519</v>
      </c>
      <c r="B119" s="13" t="s">
        <v>520</v>
      </c>
      <c r="C119" s="13" t="s">
        <v>521</v>
      </c>
      <c r="D119" s="12" t="s">
        <v>522</v>
      </c>
      <c r="E119" s="12" t="s">
        <v>47</v>
      </c>
      <c r="F119" s="13" t="s">
        <v>48</v>
      </c>
      <c r="G119" s="16" t="n">
        <v>2.82</v>
      </c>
      <c r="H119" s="17" t="n">
        <v>1000</v>
      </c>
      <c r="I119" s="18" t="n">
        <f aca="false">IF(AND(ISNUMBER(G119),ISNUMBER(H119),H119&gt;0),G119/H119*1000,"")</f>
        <v>2.82</v>
      </c>
      <c r="J119" s="12" t="s">
        <v>49</v>
      </c>
      <c r="K119" s="12" t="s">
        <v>50</v>
      </c>
      <c r="L119" s="13" t="s">
        <v>523</v>
      </c>
    </row>
    <row r="120" customFormat="false" ht="15" hidden="false" customHeight="true" outlineLevel="0" collapsed="false">
      <c r="A120" s="12" t="s">
        <v>524</v>
      </c>
      <c r="B120" s="13" t="s">
        <v>525</v>
      </c>
      <c r="C120" s="13" t="s">
        <v>526</v>
      </c>
      <c r="D120" s="12" t="s">
        <v>79</v>
      </c>
      <c r="E120" s="12" t="s">
        <v>80</v>
      </c>
      <c r="F120" s="13" t="s">
        <v>527</v>
      </c>
      <c r="G120" s="19" t="n">
        <v>20.15</v>
      </c>
      <c r="H120" s="17" t="n">
        <v>1000</v>
      </c>
      <c r="I120" s="18" t="n">
        <f aca="false">IF(AND(ISNUMBER(G120),ISNUMBER(H120),H120&gt;0),G120/H120*1000,"")</f>
        <v>20.15</v>
      </c>
      <c r="J120" s="12"/>
      <c r="K120" s="12"/>
      <c r="L120" s="13" t="s">
        <v>528</v>
      </c>
    </row>
    <row r="121" customFormat="false" ht="15" hidden="false" customHeight="true" outlineLevel="0" collapsed="false">
      <c r="A121" s="12" t="s">
        <v>529</v>
      </c>
      <c r="B121" s="13" t="s">
        <v>530</v>
      </c>
      <c r="C121" s="13" t="s">
        <v>531</v>
      </c>
      <c r="D121" s="12" t="s">
        <v>79</v>
      </c>
      <c r="E121" s="12" t="s">
        <v>80</v>
      </c>
      <c r="F121" s="13" t="s">
        <v>532</v>
      </c>
      <c r="G121" s="19" t="n">
        <v>2.44</v>
      </c>
      <c r="H121" s="17" t="n">
        <v>150</v>
      </c>
      <c r="I121" s="18" t="n">
        <f aca="false">IF(AND(ISNUMBER(G121),ISNUMBER(H121),H121&gt;0),G121/H121*1000,"")</f>
        <v>16.2666666666667</v>
      </c>
      <c r="J121" s="12"/>
      <c r="K121" s="12"/>
      <c r="L121" s="13" t="s">
        <v>533</v>
      </c>
    </row>
    <row r="122" customFormat="false" ht="15" hidden="false" customHeight="true" outlineLevel="0" collapsed="false">
      <c r="A122" s="12" t="s">
        <v>534</v>
      </c>
      <c r="B122" s="13" t="s">
        <v>535</v>
      </c>
      <c r="C122" s="13" t="s">
        <v>536</v>
      </c>
      <c r="D122" s="12" t="s">
        <v>79</v>
      </c>
      <c r="E122" s="12" t="s">
        <v>80</v>
      </c>
      <c r="F122" s="13" t="s">
        <v>537</v>
      </c>
      <c r="G122" s="19" t="n">
        <v>21.06</v>
      </c>
      <c r="H122" s="17" t="n">
        <v>1000</v>
      </c>
      <c r="I122" s="18" t="n">
        <f aca="false">IF(AND(ISNUMBER(G122),ISNUMBER(H122),H122&gt;0),G122/H122*1000,"")</f>
        <v>21.06</v>
      </c>
      <c r="J122" s="12"/>
      <c r="K122" s="12"/>
      <c r="L122" s="13" t="s">
        <v>538</v>
      </c>
    </row>
    <row r="123" customFormat="false" ht="15" hidden="false" customHeight="true" outlineLevel="0" collapsed="false">
      <c r="A123" s="12" t="s">
        <v>539</v>
      </c>
      <c r="B123" s="13" t="s">
        <v>540</v>
      </c>
      <c r="C123" s="13" t="s">
        <v>541</v>
      </c>
      <c r="D123" s="12" t="s">
        <v>79</v>
      </c>
      <c r="E123" s="12" t="s">
        <v>80</v>
      </c>
      <c r="F123" s="13" t="s">
        <v>542</v>
      </c>
      <c r="G123" s="19" t="n">
        <v>9.1</v>
      </c>
      <c r="H123" s="17" t="n">
        <v>1000</v>
      </c>
      <c r="I123" s="18" t="n">
        <f aca="false">IF(AND(ISNUMBER(G123),ISNUMBER(H123),H123&gt;0),G123/H123*1000,"")</f>
        <v>9.1</v>
      </c>
      <c r="J123" s="12"/>
      <c r="K123" s="12"/>
      <c r="L123" s="13" t="s">
        <v>543</v>
      </c>
    </row>
    <row r="124" customFormat="false" ht="23.25" hidden="false" customHeight="true" outlineLevel="0" collapsed="false">
      <c r="A124" s="12" t="s">
        <v>544</v>
      </c>
      <c r="B124" s="13" t="s">
        <v>545</v>
      </c>
      <c r="C124" s="13" t="s">
        <v>546</v>
      </c>
      <c r="D124" s="12" t="s">
        <v>79</v>
      </c>
      <c r="E124" s="12" t="s">
        <v>80</v>
      </c>
      <c r="F124" s="13" t="s">
        <v>547</v>
      </c>
      <c r="G124" s="19" t="n">
        <v>10.96</v>
      </c>
      <c r="H124" s="17" t="n">
        <v>1000</v>
      </c>
      <c r="I124" s="18" t="n">
        <f aca="false">IF(AND(ISNUMBER(G124),ISNUMBER(H124),H124&gt;0),G124/H124*1000,"")</f>
        <v>10.96</v>
      </c>
      <c r="J124" s="12"/>
      <c r="K124" s="12"/>
      <c r="L124" s="13" t="s">
        <v>548</v>
      </c>
    </row>
    <row r="125" customFormat="false" ht="15" hidden="false" customHeight="true" outlineLevel="0" collapsed="false">
      <c r="A125" s="12" t="s">
        <v>549</v>
      </c>
      <c r="B125" s="13" t="s">
        <v>550</v>
      </c>
      <c r="C125" s="13" t="s">
        <v>551</v>
      </c>
      <c r="D125" s="12" t="s">
        <v>79</v>
      </c>
      <c r="E125" s="12" t="s">
        <v>80</v>
      </c>
      <c r="F125" s="13" t="s">
        <v>512</v>
      </c>
      <c r="G125" s="19" t="n">
        <v>1.39</v>
      </c>
      <c r="H125" s="17" t="n">
        <v>300</v>
      </c>
      <c r="I125" s="18" t="n">
        <f aca="false">IF(AND(ISNUMBER(G125),ISNUMBER(H125),H125&gt;0),G125/H125*1000,"")</f>
        <v>4.63333333333333</v>
      </c>
      <c r="J125" s="12"/>
      <c r="K125" s="12"/>
      <c r="L125" s="13" t="s">
        <v>552</v>
      </c>
    </row>
    <row r="126" customFormat="false" ht="23.25" hidden="false" customHeight="true" outlineLevel="0" collapsed="false">
      <c r="A126" s="12" t="s">
        <v>553</v>
      </c>
      <c r="B126" s="13" t="s">
        <v>554</v>
      </c>
      <c r="C126" s="13" t="s">
        <v>555</v>
      </c>
      <c r="D126" s="12" t="s">
        <v>556</v>
      </c>
      <c r="E126" s="12" t="s">
        <v>80</v>
      </c>
      <c r="F126" s="13" t="s">
        <v>507</v>
      </c>
      <c r="G126" s="19" t="n">
        <v>0.99</v>
      </c>
      <c r="H126" s="17" t="n">
        <v>500</v>
      </c>
      <c r="I126" s="18" t="n">
        <f aca="false">IF(AND(ISNUMBER(G126),ISNUMBER(H126),H126&gt;0),G126/H126*1000,"")</f>
        <v>1.98</v>
      </c>
      <c r="J126" s="12"/>
      <c r="K126" s="12"/>
      <c r="L126" s="13"/>
    </row>
    <row r="127" customFormat="false" ht="15" hidden="false" customHeight="true" outlineLevel="0" collapsed="false">
      <c r="A127" s="12" t="s">
        <v>557</v>
      </c>
      <c r="B127" s="13" t="s">
        <v>558</v>
      </c>
      <c r="C127" s="13" t="s">
        <v>559</v>
      </c>
      <c r="D127" s="12" t="s">
        <v>556</v>
      </c>
      <c r="E127" s="12" t="s">
        <v>80</v>
      </c>
      <c r="F127" s="13" t="s">
        <v>560</v>
      </c>
      <c r="G127" s="19" t="n">
        <v>2.37</v>
      </c>
      <c r="H127" s="17" t="n">
        <v>750</v>
      </c>
      <c r="I127" s="18" t="n">
        <f aca="false">IF(AND(ISNUMBER(G127),ISNUMBER(H127),H127&gt;0),G127/H127*1000,"")</f>
        <v>3.16</v>
      </c>
      <c r="J127" s="12"/>
      <c r="K127" s="12"/>
      <c r="L127" s="13"/>
    </row>
    <row r="128" customFormat="false" ht="15" hidden="false" customHeight="true" outlineLevel="0" collapsed="false">
      <c r="A128" s="12" t="s">
        <v>561</v>
      </c>
      <c r="B128" s="13" t="s">
        <v>562</v>
      </c>
      <c r="C128" s="13" t="s">
        <v>563</v>
      </c>
      <c r="D128" s="12" t="s">
        <v>556</v>
      </c>
      <c r="E128" s="12" t="s">
        <v>80</v>
      </c>
      <c r="F128" s="13" t="s">
        <v>564</v>
      </c>
      <c r="G128" s="19" t="n">
        <v>1.89</v>
      </c>
      <c r="H128" s="17" t="n">
        <v>750</v>
      </c>
      <c r="I128" s="18" t="n">
        <f aca="false">IF(AND(ISNUMBER(G128),ISNUMBER(H128),H128&gt;0),G128/H128*1000,"")</f>
        <v>2.52</v>
      </c>
      <c r="J128" s="12"/>
      <c r="K128" s="12"/>
      <c r="L128" s="13"/>
    </row>
    <row r="129" customFormat="false" ht="15" hidden="false" customHeight="true" outlineLevel="0" collapsed="false">
      <c r="A129" s="12" t="s">
        <v>565</v>
      </c>
      <c r="B129" s="13" t="s">
        <v>566</v>
      </c>
      <c r="C129" s="13" t="s">
        <v>567</v>
      </c>
      <c r="D129" s="12" t="s">
        <v>556</v>
      </c>
      <c r="E129" s="12" t="s">
        <v>80</v>
      </c>
      <c r="F129" s="13" t="s">
        <v>517</v>
      </c>
      <c r="G129" s="19" t="n">
        <v>1.01</v>
      </c>
      <c r="H129" s="17" t="n">
        <v>1500</v>
      </c>
      <c r="I129" s="18" t="n">
        <f aca="false">IF(AND(ISNUMBER(G129),ISNUMBER(H129),H129&gt;0),G129/H129*1000,"")</f>
        <v>0.673333333333333</v>
      </c>
      <c r="J129" s="12"/>
      <c r="K129" s="12"/>
      <c r="L129" s="13"/>
    </row>
    <row r="130" customFormat="false" ht="15" hidden="false" customHeight="true" outlineLevel="0" collapsed="false">
      <c r="A130" s="12" t="s">
        <v>568</v>
      </c>
      <c r="B130" s="13" t="s">
        <v>569</v>
      </c>
      <c r="C130" s="13" t="s">
        <v>570</v>
      </c>
      <c r="D130" s="12" t="s">
        <v>556</v>
      </c>
      <c r="E130" s="12" t="s">
        <v>80</v>
      </c>
      <c r="F130" s="13" t="s">
        <v>571</v>
      </c>
      <c r="G130" s="19" t="n">
        <v>1.38</v>
      </c>
      <c r="H130" s="17" t="n">
        <v>300</v>
      </c>
      <c r="I130" s="18" t="n">
        <f aca="false">IF(AND(ISNUMBER(G130),ISNUMBER(H130),H130&gt;0),G130/H130*1000,"")</f>
        <v>4.6</v>
      </c>
      <c r="J130" s="12"/>
      <c r="K130" s="12"/>
      <c r="L130" s="13"/>
    </row>
    <row r="131" customFormat="false" ht="15" hidden="false" customHeight="true" outlineLevel="0" collapsed="false">
      <c r="A131" s="12" t="s">
        <v>572</v>
      </c>
      <c r="B131" s="13" t="s">
        <v>573</v>
      </c>
      <c r="C131" s="13" t="s">
        <v>574</v>
      </c>
      <c r="D131" s="12" t="s">
        <v>556</v>
      </c>
      <c r="E131" s="12" t="s">
        <v>80</v>
      </c>
      <c r="F131" s="13" t="s">
        <v>575</v>
      </c>
      <c r="G131" s="19" t="n">
        <v>1.5</v>
      </c>
      <c r="H131" s="17" t="n">
        <v>360</v>
      </c>
      <c r="I131" s="18" t="n">
        <f aca="false">IF(AND(ISNUMBER(G131),ISNUMBER(H131),H131&gt;0),G131/H131*1000,"")</f>
        <v>4.16666666666667</v>
      </c>
      <c r="J131" s="12"/>
      <c r="K131" s="12"/>
      <c r="L131" s="13"/>
    </row>
    <row r="132" customFormat="false" ht="15" hidden="false" customHeight="true" outlineLevel="0" collapsed="false">
      <c r="A132" s="12" t="s">
        <v>576</v>
      </c>
      <c r="B132" s="13" t="s">
        <v>577</v>
      </c>
      <c r="C132" s="13" t="s">
        <v>578</v>
      </c>
      <c r="D132" s="12" t="s">
        <v>556</v>
      </c>
      <c r="E132" s="12" t="s">
        <v>80</v>
      </c>
      <c r="F132" s="13" t="s">
        <v>579</v>
      </c>
      <c r="G132" s="19" t="n">
        <v>1.34</v>
      </c>
      <c r="H132" s="17" t="n">
        <v>800</v>
      </c>
      <c r="I132" s="18" t="n">
        <f aca="false">IF(AND(ISNUMBER(G132),ISNUMBER(H132),H132&gt;0),G132/H132*1000,"")</f>
        <v>1.675</v>
      </c>
      <c r="J132" s="12"/>
      <c r="K132" s="12"/>
      <c r="L132" s="13"/>
    </row>
    <row r="133" customFormat="false" ht="15" hidden="false" customHeight="true" outlineLevel="0" collapsed="false">
      <c r="A133" s="12" t="s">
        <v>580</v>
      </c>
      <c r="B133" s="13" t="s">
        <v>581</v>
      </c>
      <c r="C133" s="13" t="s">
        <v>582</v>
      </c>
      <c r="D133" s="12" t="s">
        <v>556</v>
      </c>
      <c r="E133" s="12" t="s">
        <v>80</v>
      </c>
      <c r="F133" s="13" t="s">
        <v>583</v>
      </c>
      <c r="G133" s="19" t="n">
        <v>1.3</v>
      </c>
      <c r="H133" s="17" t="n">
        <v>800</v>
      </c>
      <c r="I133" s="18" t="n">
        <f aca="false">IF(AND(ISNUMBER(G133),ISNUMBER(H133),H133&gt;0),G133/H133*1000,"")</f>
        <v>1.625</v>
      </c>
      <c r="J133" s="12"/>
      <c r="K133" s="12"/>
      <c r="L133" s="13"/>
    </row>
    <row r="134" customFormat="false" ht="15" hidden="false" customHeight="true" outlineLevel="0" collapsed="false">
      <c r="A134" s="12" t="s">
        <v>584</v>
      </c>
      <c r="B134" s="13" t="s">
        <v>585</v>
      </c>
      <c r="C134" s="13" t="s">
        <v>586</v>
      </c>
      <c r="D134" s="12" t="s">
        <v>556</v>
      </c>
      <c r="E134" s="12" t="s">
        <v>80</v>
      </c>
      <c r="F134" s="13" t="s">
        <v>81</v>
      </c>
      <c r="G134" s="19" t="n">
        <v>1.15</v>
      </c>
      <c r="H134" s="17" t="n">
        <v>1136</v>
      </c>
      <c r="I134" s="18" t="n">
        <f aca="false">IF(AND(ISNUMBER(G134),ISNUMBER(H134),H134&gt;0),G134/H134*1000,"")</f>
        <v>1.01232394366197</v>
      </c>
      <c r="J134" s="12"/>
      <c r="K134" s="12"/>
      <c r="L134" s="13" t="s">
        <v>587</v>
      </c>
    </row>
    <row r="135" customFormat="false" ht="23.25" hidden="false" customHeight="true" outlineLevel="0" collapsed="false">
      <c r="A135" s="12" t="s">
        <v>588</v>
      </c>
      <c r="B135" s="13" t="s">
        <v>589</v>
      </c>
      <c r="C135" s="13" t="s">
        <v>590</v>
      </c>
      <c r="D135" s="12" t="s">
        <v>556</v>
      </c>
      <c r="E135" s="12" t="s">
        <v>80</v>
      </c>
      <c r="F135" s="13" t="s">
        <v>591</v>
      </c>
      <c r="G135" s="19" t="n">
        <v>1.58</v>
      </c>
      <c r="H135" s="17" t="n">
        <v>275</v>
      </c>
      <c r="I135" s="18" t="n">
        <f aca="false">IF(AND(ISNUMBER(G135),ISNUMBER(H135),H135&gt;0),G135/H135*1000,"")</f>
        <v>5.74545454545455</v>
      </c>
      <c r="J135" s="12"/>
      <c r="K135" s="12"/>
      <c r="L135" s="13" t="s">
        <v>587</v>
      </c>
    </row>
    <row r="136" customFormat="false" ht="23.25" hidden="false" customHeight="true" outlineLevel="0" collapsed="false">
      <c r="A136" s="12" t="s">
        <v>592</v>
      </c>
      <c r="B136" s="13" t="s">
        <v>593</v>
      </c>
      <c r="C136" s="13" t="s">
        <v>594</v>
      </c>
      <c r="D136" s="12" t="s">
        <v>556</v>
      </c>
      <c r="E136" s="12" t="s">
        <v>80</v>
      </c>
      <c r="F136" s="13" t="s">
        <v>591</v>
      </c>
      <c r="G136" s="19" t="n">
        <v>1.58</v>
      </c>
      <c r="H136" s="17" t="n">
        <v>275</v>
      </c>
      <c r="I136" s="18" t="n">
        <f aca="false">IF(AND(ISNUMBER(G136),ISNUMBER(H136),H136&gt;0),G136/H136*1000,"")</f>
        <v>5.74545454545455</v>
      </c>
      <c r="J136" s="12"/>
      <c r="K136" s="12"/>
      <c r="L136" s="13" t="s">
        <v>587</v>
      </c>
    </row>
    <row r="137" customFormat="false" ht="15" hidden="false" customHeight="true" outlineLevel="0" collapsed="false">
      <c r="A137" s="12" t="s">
        <v>595</v>
      </c>
      <c r="B137" s="13" t="s">
        <v>596</v>
      </c>
      <c r="C137" s="13" t="s">
        <v>597</v>
      </c>
      <c r="D137" s="12" t="s">
        <v>556</v>
      </c>
      <c r="E137" s="12" t="s">
        <v>80</v>
      </c>
      <c r="F137" s="13" t="s">
        <v>598</v>
      </c>
      <c r="G137" s="19" t="n">
        <v>8.45</v>
      </c>
      <c r="H137" s="17" t="n">
        <v>1000</v>
      </c>
      <c r="I137" s="18" t="n">
        <f aca="false">IF(AND(ISNUMBER(G137),ISNUMBER(H137),H137&gt;0),G137/H137*1000,"")</f>
        <v>8.45</v>
      </c>
      <c r="J137" s="12"/>
      <c r="K137" s="12"/>
      <c r="L137" s="13"/>
    </row>
    <row r="138" customFormat="false" ht="23.25" hidden="false" customHeight="true" outlineLevel="0" collapsed="false">
      <c r="A138" s="12" t="s">
        <v>599</v>
      </c>
      <c r="B138" s="13" t="s">
        <v>600</v>
      </c>
      <c r="C138" s="13" t="s">
        <v>601</v>
      </c>
      <c r="D138" s="12" t="s">
        <v>556</v>
      </c>
      <c r="E138" s="12" t="s">
        <v>80</v>
      </c>
      <c r="F138" s="13" t="s">
        <v>602</v>
      </c>
      <c r="G138" s="19" t="n">
        <v>23.62</v>
      </c>
      <c r="H138" s="17" t="n">
        <v>1000</v>
      </c>
      <c r="I138" s="18" t="n">
        <f aca="false">IF(AND(ISNUMBER(G138),ISNUMBER(H138),H138&gt;0),G138/H138*1000,"")</f>
        <v>23.62</v>
      </c>
      <c r="J138" s="12"/>
      <c r="K138" s="12"/>
      <c r="L138" s="13"/>
    </row>
    <row r="139" customFormat="false" ht="15" hidden="false" customHeight="true" outlineLevel="0" collapsed="false">
      <c r="A139" s="12" t="s">
        <v>603</v>
      </c>
      <c r="B139" s="13" t="s">
        <v>604</v>
      </c>
      <c r="C139" s="13" t="s">
        <v>605</v>
      </c>
      <c r="D139" s="12" t="s">
        <v>556</v>
      </c>
      <c r="E139" s="12" t="s">
        <v>80</v>
      </c>
      <c r="F139" s="13" t="s">
        <v>606</v>
      </c>
      <c r="G139" s="19" t="n">
        <v>1.4</v>
      </c>
      <c r="H139" s="17" t="n">
        <v>150</v>
      </c>
      <c r="I139" s="18" t="n">
        <f aca="false">IF(AND(ISNUMBER(G139),ISNUMBER(H139),H139&gt;0),G139/H139*1000,"")</f>
        <v>9.33333333333333</v>
      </c>
      <c r="J139" s="12"/>
      <c r="K139" s="12"/>
      <c r="L139" s="13"/>
    </row>
    <row r="140" customFormat="false" ht="15" hidden="false" customHeight="true" outlineLevel="0" collapsed="false">
      <c r="A140" s="12" t="s">
        <v>607</v>
      </c>
      <c r="B140" s="13" t="s">
        <v>608</v>
      </c>
      <c r="C140" s="13" t="s">
        <v>609</v>
      </c>
      <c r="D140" s="12" t="s">
        <v>556</v>
      </c>
      <c r="E140" s="12" t="s">
        <v>80</v>
      </c>
      <c r="F140" s="13" t="s">
        <v>610</v>
      </c>
      <c r="G140" s="19" t="n">
        <v>1.84</v>
      </c>
      <c r="H140" s="17" t="n">
        <v>2272</v>
      </c>
      <c r="I140" s="18" t="n">
        <f aca="false">IF(AND(ISNUMBER(G140),ISNUMBER(H140),H140&gt;0),G140/H140*1000,"")</f>
        <v>0.809859154929578</v>
      </c>
      <c r="J140" s="12"/>
      <c r="K140" s="12"/>
      <c r="L140" s="13" t="s">
        <v>587</v>
      </c>
    </row>
    <row r="141" customFormat="false" ht="15" hidden="false" customHeight="true" outlineLevel="0" collapsed="false">
      <c r="A141" s="12" t="s">
        <v>611</v>
      </c>
      <c r="B141" s="13" t="s">
        <v>612</v>
      </c>
      <c r="C141" s="13" t="s">
        <v>613</v>
      </c>
      <c r="D141" s="12" t="s">
        <v>556</v>
      </c>
      <c r="E141" s="12" t="s">
        <v>80</v>
      </c>
      <c r="F141" s="13" t="s">
        <v>614</v>
      </c>
      <c r="G141" s="19" t="n">
        <v>1.54</v>
      </c>
      <c r="H141" s="17" t="n">
        <v>1000</v>
      </c>
      <c r="I141" s="18" t="n">
        <f aca="false">IF(AND(ISNUMBER(G141),ISNUMBER(H141),H141&gt;0),G141/H141*1000,"")</f>
        <v>1.54</v>
      </c>
      <c r="J141" s="12"/>
      <c r="K141" s="12"/>
      <c r="L141" s="13"/>
    </row>
    <row r="142" customFormat="false" ht="15" hidden="false" customHeight="true" outlineLevel="0" collapsed="false">
      <c r="A142" s="12" t="s">
        <v>615</v>
      </c>
      <c r="B142" s="13" t="s">
        <v>616</v>
      </c>
      <c r="C142" s="13" t="s">
        <v>617</v>
      </c>
      <c r="D142" s="12" t="s">
        <v>556</v>
      </c>
      <c r="E142" s="12" t="s">
        <v>80</v>
      </c>
      <c r="F142" s="13" t="s">
        <v>618</v>
      </c>
      <c r="G142" s="19" t="n">
        <v>1</v>
      </c>
      <c r="H142" s="17" t="n">
        <v>1000</v>
      </c>
      <c r="I142" s="18" t="n">
        <f aca="false">IF(AND(ISNUMBER(G142),ISNUMBER(H142),H142&gt;0),G142/H142*1000,"")</f>
        <v>1</v>
      </c>
      <c r="J142" s="12"/>
      <c r="K142" s="12"/>
      <c r="L142" s="13"/>
    </row>
    <row r="143" customFormat="false" ht="15" hidden="false" customHeight="true" outlineLevel="0" collapsed="false">
      <c r="A143" s="12" t="s">
        <v>619</v>
      </c>
      <c r="B143" s="13" t="s">
        <v>620</v>
      </c>
      <c r="C143" s="13" t="s">
        <v>621</v>
      </c>
      <c r="D143" s="12" t="s">
        <v>556</v>
      </c>
      <c r="E143" s="12" t="s">
        <v>80</v>
      </c>
      <c r="F143" s="13" t="s">
        <v>622</v>
      </c>
      <c r="G143" s="19" t="n">
        <v>0.94</v>
      </c>
      <c r="H143" s="17" t="n">
        <v>1000</v>
      </c>
      <c r="I143" s="18" t="n">
        <f aca="false">IF(AND(ISNUMBER(G143),ISNUMBER(H143),H143&gt;0),G143/H143*1000,"")</f>
        <v>0.94</v>
      </c>
      <c r="J143" s="12"/>
      <c r="K143" s="12"/>
      <c r="L143" s="13"/>
    </row>
    <row r="144" customFormat="false" ht="15" hidden="false" customHeight="true" outlineLevel="0" collapsed="false">
      <c r="A144" s="12" t="s">
        <v>623</v>
      </c>
      <c r="B144" s="13" t="s">
        <v>624</v>
      </c>
      <c r="C144" s="13" t="s">
        <v>625</v>
      </c>
      <c r="D144" s="12" t="s">
        <v>556</v>
      </c>
      <c r="E144" s="12" t="s">
        <v>80</v>
      </c>
      <c r="F144" s="13" t="s">
        <v>626</v>
      </c>
      <c r="G144" s="19" t="n">
        <v>1.15</v>
      </c>
      <c r="H144" s="17" t="n">
        <v>1000</v>
      </c>
      <c r="I144" s="18" t="n">
        <f aca="false">IF(AND(ISNUMBER(G144),ISNUMBER(H144),H144&gt;0),G144/H144*1000,"")</f>
        <v>1.15</v>
      </c>
      <c r="J144" s="12"/>
      <c r="K144" s="12"/>
      <c r="L144" s="13"/>
    </row>
    <row r="145" customFormat="false" ht="15" hidden="false" customHeight="true" outlineLevel="0" collapsed="false">
      <c r="A145" s="12" t="s">
        <v>627</v>
      </c>
      <c r="B145" s="13" t="s">
        <v>628</v>
      </c>
      <c r="C145" s="13" t="s">
        <v>629</v>
      </c>
      <c r="D145" s="12" t="s">
        <v>556</v>
      </c>
      <c r="E145" s="12" t="s">
        <v>80</v>
      </c>
      <c r="F145" s="13" t="s">
        <v>630</v>
      </c>
      <c r="G145" s="19" t="n">
        <v>2.7</v>
      </c>
      <c r="H145" s="17" t="n">
        <v>1000</v>
      </c>
      <c r="I145" s="18" t="n">
        <f aca="false">IF(AND(ISNUMBER(G145),ISNUMBER(H145),H145&gt;0),G145/H145*1000,"")</f>
        <v>2.7</v>
      </c>
      <c r="J145" s="12"/>
      <c r="K145" s="12"/>
      <c r="L145" s="13"/>
    </row>
    <row r="146" customFormat="false" ht="15" hidden="false" customHeight="true" outlineLevel="0" collapsed="false">
      <c r="A146" s="12" t="s">
        <v>631</v>
      </c>
      <c r="B146" s="13" t="s">
        <v>632</v>
      </c>
      <c r="C146" s="13" t="s">
        <v>633</v>
      </c>
      <c r="D146" s="12" t="s">
        <v>556</v>
      </c>
      <c r="E146" s="12" t="s">
        <v>80</v>
      </c>
      <c r="F146" s="13" t="s">
        <v>634</v>
      </c>
      <c r="G146" s="19" t="n">
        <v>3.96</v>
      </c>
      <c r="H146" s="17" t="n">
        <v>1000</v>
      </c>
      <c r="I146" s="18" t="n">
        <f aca="false">IF(AND(ISNUMBER(G146),ISNUMBER(H146),H146&gt;0),G146/H146*1000,"")</f>
        <v>3.96</v>
      </c>
      <c r="J146" s="12"/>
      <c r="K146" s="12"/>
      <c r="L146" s="13"/>
    </row>
    <row r="147" customFormat="false" ht="15" hidden="false" customHeight="true" outlineLevel="0" collapsed="false">
      <c r="A147" s="12" t="s">
        <v>635</v>
      </c>
      <c r="B147" s="13" t="s">
        <v>636</v>
      </c>
      <c r="C147" s="13" t="s">
        <v>637</v>
      </c>
      <c r="D147" s="12" t="s">
        <v>556</v>
      </c>
      <c r="E147" s="12" t="s">
        <v>80</v>
      </c>
      <c r="F147" s="13" t="s">
        <v>638</v>
      </c>
      <c r="G147" s="19" t="n">
        <v>5.32</v>
      </c>
      <c r="H147" s="17" t="n">
        <v>1000</v>
      </c>
      <c r="I147" s="18" t="n">
        <f aca="false">IF(AND(ISNUMBER(G147),ISNUMBER(H147),H147&gt;0),G147/H147*1000,"")</f>
        <v>5.32</v>
      </c>
      <c r="J147" s="12"/>
      <c r="K147" s="12"/>
      <c r="L147" s="13"/>
    </row>
    <row r="148" customFormat="false" ht="15" hidden="false" customHeight="true" outlineLevel="0" collapsed="false">
      <c r="A148" s="12" t="s">
        <v>639</v>
      </c>
      <c r="B148" s="13" t="s">
        <v>640</v>
      </c>
      <c r="C148" s="13" t="s">
        <v>641</v>
      </c>
      <c r="D148" s="12" t="s">
        <v>556</v>
      </c>
      <c r="E148" s="12" t="s">
        <v>80</v>
      </c>
      <c r="F148" s="13" t="s">
        <v>642</v>
      </c>
      <c r="G148" s="19" t="n">
        <v>3.73</v>
      </c>
      <c r="H148" s="17" t="n">
        <v>1000</v>
      </c>
      <c r="I148" s="18" t="n">
        <f aca="false">IF(AND(ISNUMBER(G148),ISNUMBER(H148),H148&gt;0),G148/H148*1000,"")</f>
        <v>3.73</v>
      </c>
      <c r="J148" s="12"/>
      <c r="K148" s="12"/>
      <c r="L148" s="13"/>
    </row>
    <row r="149" customFormat="false" ht="15" hidden="false" customHeight="true" outlineLevel="0" collapsed="false">
      <c r="A149" s="12" t="s">
        <v>643</v>
      </c>
      <c r="B149" s="13" t="s">
        <v>644</v>
      </c>
      <c r="C149" s="13" t="s">
        <v>645</v>
      </c>
      <c r="D149" s="12" t="s">
        <v>556</v>
      </c>
      <c r="E149" s="12" t="s">
        <v>80</v>
      </c>
      <c r="F149" s="13" t="s">
        <v>646</v>
      </c>
      <c r="G149" s="19" t="n">
        <v>2.11</v>
      </c>
      <c r="H149" s="17" t="n">
        <v>900</v>
      </c>
      <c r="I149" s="18" t="n">
        <f aca="false">IF(AND(ISNUMBER(G149),ISNUMBER(H149),H149&gt;0),G149/H149*1000,"")</f>
        <v>2.34444444444444</v>
      </c>
      <c r="J149" s="12"/>
      <c r="K149" s="12"/>
      <c r="L149" s="13"/>
    </row>
    <row r="150" customFormat="false" ht="15" hidden="false" customHeight="true" outlineLevel="0" collapsed="false">
      <c r="A150" s="12" t="s">
        <v>647</v>
      </c>
      <c r="B150" s="13" t="s">
        <v>648</v>
      </c>
      <c r="C150" s="13" t="s">
        <v>649</v>
      </c>
      <c r="D150" s="12" t="s">
        <v>46</v>
      </c>
      <c r="E150" s="12" t="s">
        <v>47</v>
      </c>
      <c r="F150" s="13" t="s">
        <v>48</v>
      </c>
      <c r="G150" s="16" t="n">
        <v>2.82</v>
      </c>
      <c r="H150" s="17" t="n">
        <v>1000</v>
      </c>
      <c r="I150" s="18" t="n">
        <f aca="false">IF(AND(ISNUMBER(G150),ISNUMBER(H150),H150&gt;0),G150/H150*1000,"")</f>
        <v>2.82</v>
      </c>
      <c r="J150" s="12" t="s">
        <v>49</v>
      </c>
      <c r="K150" s="12" t="s">
        <v>50</v>
      </c>
      <c r="L150" s="13" t="s">
        <v>650</v>
      </c>
    </row>
    <row r="151" customFormat="false" ht="23.25" hidden="false" customHeight="true" outlineLevel="0" collapsed="false">
      <c r="A151" s="12" t="s">
        <v>651</v>
      </c>
      <c r="B151" s="13" t="s">
        <v>652</v>
      </c>
      <c r="C151" s="13" t="s">
        <v>653</v>
      </c>
      <c r="D151" s="12" t="s">
        <v>556</v>
      </c>
      <c r="E151" s="12" t="s">
        <v>80</v>
      </c>
      <c r="F151" s="13" t="s">
        <v>654</v>
      </c>
      <c r="G151" s="19" t="n">
        <v>0.65</v>
      </c>
      <c r="H151" s="17" t="n">
        <v>400</v>
      </c>
      <c r="I151" s="18" t="n">
        <f aca="false">IF(AND(ISNUMBER(G151),ISNUMBER(H151),H151&gt;0),G151/H151*1000,"")</f>
        <v>1.625</v>
      </c>
      <c r="J151" s="12"/>
      <c r="K151" s="12"/>
      <c r="L151" s="13"/>
    </row>
    <row r="152" customFormat="false" ht="15" hidden="false" customHeight="true" outlineLevel="0" collapsed="false">
      <c r="A152" s="12" t="s">
        <v>655</v>
      </c>
      <c r="B152" s="13" t="s">
        <v>656</v>
      </c>
      <c r="C152" s="13" t="s">
        <v>657</v>
      </c>
      <c r="D152" s="12" t="s">
        <v>556</v>
      </c>
      <c r="E152" s="12" t="s">
        <v>80</v>
      </c>
      <c r="F152" s="13" t="s">
        <v>658</v>
      </c>
      <c r="G152" s="19" t="n">
        <v>0.89</v>
      </c>
      <c r="H152" s="17" t="n">
        <v>425</v>
      </c>
      <c r="I152" s="18" t="n">
        <f aca="false">IF(AND(ISNUMBER(G152),ISNUMBER(H152),H152&gt;0),G152/H152*1000,"")</f>
        <v>2.09411764705882</v>
      </c>
      <c r="J152" s="12"/>
      <c r="K152" s="12"/>
      <c r="L152" s="13"/>
    </row>
    <row r="153" customFormat="false" ht="15" hidden="false" customHeight="true" outlineLevel="0" collapsed="false">
      <c r="A153" s="12" t="s">
        <v>659</v>
      </c>
      <c r="B153" s="13" t="s">
        <v>660</v>
      </c>
      <c r="C153" s="13" t="s">
        <v>661</v>
      </c>
      <c r="D153" s="12" t="s">
        <v>556</v>
      </c>
      <c r="E153" s="12" t="s">
        <v>80</v>
      </c>
      <c r="F153" s="13" t="s">
        <v>662</v>
      </c>
      <c r="G153" s="19" t="n">
        <v>1.46</v>
      </c>
      <c r="H153" s="17" t="n">
        <v>200</v>
      </c>
      <c r="I153" s="18" t="n">
        <f aca="false">IF(AND(ISNUMBER(G153),ISNUMBER(H153),H153&gt;0),G153/H153*1000,"")</f>
        <v>7.3</v>
      </c>
      <c r="J153" s="12"/>
      <c r="K153" s="12"/>
      <c r="L153" s="13"/>
    </row>
    <row r="154" customFormat="false" ht="15" hidden="false" customHeight="true" outlineLevel="0" collapsed="false">
      <c r="A154" s="12" t="s">
        <v>663</v>
      </c>
      <c r="B154" s="13" t="s">
        <v>664</v>
      </c>
      <c r="C154" s="13" t="s">
        <v>665</v>
      </c>
      <c r="D154" s="12" t="s">
        <v>556</v>
      </c>
      <c r="E154" s="12" t="s">
        <v>80</v>
      </c>
      <c r="F154" s="13" t="s">
        <v>666</v>
      </c>
      <c r="G154" s="19" t="n">
        <v>1.56</v>
      </c>
      <c r="H154" s="17" t="n">
        <v>1000</v>
      </c>
      <c r="I154" s="18" t="n">
        <f aca="false">IF(AND(ISNUMBER(G154),ISNUMBER(H154),H154&gt;0),G154/H154*1000,"")</f>
        <v>1.56</v>
      </c>
      <c r="J154" s="12"/>
      <c r="K154" s="12"/>
      <c r="L154" s="13"/>
    </row>
    <row r="155" customFormat="false" ht="15" hidden="false" customHeight="true" outlineLevel="0" collapsed="false">
      <c r="A155" s="12" t="s">
        <v>667</v>
      </c>
      <c r="B155" s="13" t="s">
        <v>668</v>
      </c>
      <c r="C155" s="13" t="s">
        <v>669</v>
      </c>
      <c r="D155" s="12" t="s">
        <v>556</v>
      </c>
      <c r="E155" s="12" t="s">
        <v>80</v>
      </c>
      <c r="F155" s="13" t="s">
        <v>670</v>
      </c>
      <c r="G155" s="19" t="n">
        <v>3.13</v>
      </c>
      <c r="H155" s="17" t="n">
        <v>1000</v>
      </c>
      <c r="I155" s="18" t="n">
        <f aca="false">IF(AND(ISNUMBER(G155),ISNUMBER(H155),H155&gt;0),G155/H155*1000,"")</f>
        <v>3.13</v>
      </c>
      <c r="J155" s="12"/>
      <c r="K155" s="12"/>
      <c r="L155" s="13"/>
    </row>
    <row r="156" customFormat="false" ht="23.25" hidden="false" customHeight="true" outlineLevel="0" collapsed="false">
      <c r="A156" s="12" t="s">
        <v>671</v>
      </c>
      <c r="B156" s="13" t="s">
        <v>672</v>
      </c>
      <c r="C156" s="13" t="s">
        <v>673</v>
      </c>
      <c r="D156" s="12" t="s">
        <v>46</v>
      </c>
      <c r="E156" s="12" t="s">
        <v>47</v>
      </c>
      <c r="F156" s="13" t="s">
        <v>48</v>
      </c>
      <c r="G156" s="16" t="n">
        <v>1.6</v>
      </c>
      <c r="H156" s="17" t="n">
        <v>1000</v>
      </c>
      <c r="I156" s="18" t="n">
        <f aca="false">IF(AND(ISNUMBER(G156),ISNUMBER(H156),H156&gt;0),G156/H156*1000,"")</f>
        <v>1.6</v>
      </c>
      <c r="J156" s="12" t="s">
        <v>49</v>
      </c>
      <c r="K156" s="12" t="s">
        <v>50</v>
      </c>
      <c r="L156" s="13" t="s">
        <v>674</v>
      </c>
    </row>
    <row r="157" customFormat="false" ht="23.25" hidden="false" customHeight="true" outlineLevel="0" collapsed="false">
      <c r="A157" s="12" t="s">
        <v>675</v>
      </c>
      <c r="B157" s="13" t="s">
        <v>676</v>
      </c>
      <c r="C157" s="13" t="s">
        <v>677</v>
      </c>
      <c r="D157" s="12" t="s">
        <v>46</v>
      </c>
      <c r="E157" s="12" t="s">
        <v>47</v>
      </c>
      <c r="F157" s="13" t="s">
        <v>48</v>
      </c>
      <c r="G157" s="16" t="n">
        <v>1.65</v>
      </c>
      <c r="H157" s="17" t="n">
        <v>1000</v>
      </c>
      <c r="I157" s="18" t="n">
        <f aca="false">IF(AND(ISNUMBER(G157),ISNUMBER(H157),H157&gt;0),G157/H157*1000,"")</f>
        <v>1.65</v>
      </c>
      <c r="J157" s="12" t="s">
        <v>49</v>
      </c>
      <c r="K157" s="12" t="s">
        <v>50</v>
      </c>
      <c r="L157" s="13" t="s">
        <v>678</v>
      </c>
    </row>
    <row r="158" customFormat="false" ht="15" hidden="false" customHeight="true" outlineLevel="0" collapsed="false">
      <c r="A158" s="12" t="s">
        <v>679</v>
      </c>
      <c r="B158" s="13" t="s">
        <v>680</v>
      </c>
      <c r="C158" s="13" t="s">
        <v>681</v>
      </c>
      <c r="D158" s="12" t="s">
        <v>556</v>
      </c>
      <c r="E158" s="12" t="s">
        <v>80</v>
      </c>
      <c r="F158" s="13" t="s">
        <v>682</v>
      </c>
      <c r="G158" s="19" t="n">
        <v>1</v>
      </c>
      <c r="H158" s="17" t="n">
        <v>10</v>
      </c>
      <c r="I158" s="18" t="n">
        <f aca="false">IF(AND(ISNUMBER(G158),ISNUMBER(H158),H158&gt;0),G158/H158*1000,"")</f>
        <v>100</v>
      </c>
      <c r="J158" s="12"/>
      <c r="K158" s="12"/>
      <c r="L158" s="13" t="s">
        <v>683</v>
      </c>
    </row>
    <row r="159" customFormat="false" ht="15" hidden="false" customHeight="true" outlineLevel="0" collapsed="false">
      <c r="A159" s="12" t="s">
        <v>684</v>
      </c>
      <c r="B159" s="13" t="s">
        <v>685</v>
      </c>
      <c r="C159" s="13" t="s">
        <v>686</v>
      </c>
      <c r="D159" s="12" t="s">
        <v>556</v>
      </c>
      <c r="E159" s="12" t="s">
        <v>80</v>
      </c>
      <c r="F159" s="13" t="s">
        <v>682</v>
      </c>
      <c r="G159" s="19" t="n">
        <v>1</v>
      </c>
      <c r="H159" s="17" t="n">
        <v>10</v>
      </c>
      <c r="I159" s="18" t="n">
        <f aca="false">IF(AND(ISNUMBER(G159),ISNUMBER(H159),H159&gt;0),G159/H159*1000,"")</f>
        <v>100</v>
      </c>
      <c r="J159" s="12"/>
      <c r="K159" s="12"/>
      <c r="L159" s="13"/>
    </row>
    <row r="160" customFormat="false" ht="15" hidden="false" customHeight="true" outlineLevel="0" collapsed="false">
      <c r="A160" s="12" t="s">
        <v>687</v>
      </c>
      <c r="B160" s="13" t="s">
        <v>688</v>
      </c>
      <c r="C160" s="13" t="s">
        <v>689</v>
      </c>
      <c r="D160" s="12" t="s">
        <v>556</v>
      </c>
      <c r="E160" s="12" t="s">
        <v>80</v>
      </c>
      <c r="F160" s="13" t="s">
        <v>690</v>
      </c>
      <c r="G160" s="19" t="n">
        <v>1.14</v>
      </c>
      <c r="H160" s="17" t="n">
        <v>1000</v>
      </c>
      <c r="I160" s="18" t="n">
        <f aca="false">IF(AND(ISNUMBER(G160),ISNUMBER(H160),H160&gt;0),G160/H160*1000,"")</f>
        <v>1.14</v>
      </c>
      <c r="J160" s="12"/>
      <c r="K160" s="12"/>
      <c r="L160" s="13"/>
    </row>
    <row r="161" customFormat="false" ht="15" hidden="false" customHeight="true" outlineLevel="0" collapsed="false">
      <c r="A161" s="12" t="s">
        <v>691</v>
      </c>
      <c r="B161" s="13" t="s">
        <v>692</v>
      </c>
      <c r="C161" s="13" t="s">
        <v>693</v>
      </c>
      <c r="D161" s="12" t="s">
        <v>556</v>
      </c>
      <c r="E161" s="12" t="s">
        <v>80</v>
      </c>
      <c r="F161" s="13" t="s">
        <v>694</v>
      </c>
      <c r="G161" s="19" t="n">
        <v>2.25</v>
      </c>
      <c r="H161" s="17" t="n">
        <v>1000</v>
      </c>
      <c r="I161" s="18" t="n">
        <f aca="false">IF(AND(ISNUMBER(G161),ISNUMBER(H161),H161&gt;0),G161/H161*1000,"")</f>
        <v>2.25</v>
      </c>
      <c r="J161" s="12"/>
      <c r="K161" s="12"/>
      <c r="L161" s="13"/>
    </row>
    <row r="162" customFormat="false" ht="15" hidden="false" customHeight="true" outlineLevel="0" collapsed="false">
      <c r="A162" s="12" t="s">
        <v>695</v>
      </c>
      <c r="B162" s="13" t="s">
        <v>696</v>
      </c>
      <c r="C162" s="13" t="s">
        <v>697</v>
      </c>
      <c r="D162" s="12" t="s">
        <v>556</v>
      </c>
      <c r="E162" s="12" t="s">
        <v>80</v>
      </c>
      <c r="F162" s="13" t="s">
        <v>698</v>
      </c>
      <c r="G162" s="19" t="n">
        <v>9.14</v>
      </c>
      <c r="H162" s="17" t="n">
        <v>1000</v>
      </c>
      <c r="I162" s="18" t="n">
        <f aca="false">IF(AND(ISNUMBER(G162),ISNUMBER(H162),H162&gt;0),G162/H162*1000,"")</f>
        <v>9.14</v>
      </c>
      <c r="J162" s="12"/>
      <c r="K162" s="12"/>
      <c r="L162" s="13"/>
    </row>
    <row r="163" customFormat="false" ht="15" hidden="false" customHeight="true" outlineLevel="0" collapsed="false">
      <c r="A163" s="12" t="s">
        <v>699</v>
      </c>
      <c r="B163" s="13" t="s">
        <v>700</v>
      </c>
      <c r="C163" s="13" t="s">
        <v>701</v>
      </c>
      <c r="D163" s="12" t="s">
        <v>556</v>
      </c>
      <c r="E163" s="12" t="s">
        <v>80</v>
      </c>
      <c r="F163" s="13" t="s">
        <v>702</v>
      </c>
      <c r="G163" s="19" t="n">
        <v>10.59</v>
      </c>
      <c r="H163" s="17" t="n">
        <v>1000</v>
      </c>
      <c r="I163" s="18" t="n">
        <f aca="false">IF(AND(ISNUMBER(G163),ISNUMBER(H163),H163&gt;0),G163/H163*1000,"")</f>
        <v>10.59</v>
      </c>
      <c r="J163" s="12"/>
      <c r="K163" s="12"/>
      <c r="L163" s="13"/>
    </row>
    <row r="164" customFormat="false" ht="15" hidden="false" customHeight="true" outlineLevel="0" collapsed="false">
      <c r="A164" s="12" t="s">
        <v>703</v>
      </c>
      <c r="B164" s="13" t="s">
        <v>704</v>
      </c>
      <c r="C164" s="13" t="s">
        <v>705</v>
      </c>
      <c r="D164" s="12" t="s">
        <v>556</v>
      </c>
      <c r="E164" s="12" t="s">
        <v>80</v>
      </c>
      <c r="F164" s="13" t="s">
        <v>706</v>
      </c>
      <c r="G164" s="19" t="n">
        <v>2.04</v>
      </c>
      <c r="H164" s="17" t="n">
        <v>300</v>
      </c>
      <c r="I164" s="18" t="n">
        <f aca="false">IF(AND(ISNUMBER(G164),ISNUMBER(H164),H164&gt;0),G164/H164*1000,"")</f>
        <v>6.8</v>
      </c>
      <c r="J164" s="12"/>
      <c r="K164" s="12"/>
      <c r="L164" s="13"/>
    </row>
    <row r="165" customFormat="false" ht="15" hidden="false" customHeight="true" outlineLevel="0" collapsed="false">
      <c r="A165" s="12" t="s">
        <v>707</v>
      </c>
      <c r="B165" s="13" t="s">
        <v>708</v>
      </c>
      <c r="C165" s="13" t="s">
        <v>709</v>
      </c>
      <c r="D165" s="12" t="s">
        <v>556</v>
      </c>
      <c r="E165" s="12" t="s">
        <v>80</v>
      </c>
      <c r="F165" s="13" t="s">
        <v>710</v>
      </c>
      <c r="G165" s="19" t="n">
        <v>21.13</v>
      </c>
      <c r="H165" s="17" t="n">
        <v>1000</v>
      </c>
      <c r="I165" s="18" t="n">
        <f aca="false">IF(AND(ISNUMBER(G165),ISNUMBER(H165),H165&gt;0),G165/H165*1000,"")</f>
        <v>21.13</v>
      </c>
      <c r="J165" s="12"/>
      <c r="K165" s="12"/>
      <c r="L165" s="13"/>
    </row>
    <row r="166" customFormat="false" ht="15" hidden="false" customHeight="true" outlineLevel="0" collapsed="false">
      <c r="A166" s="12" t="s">
        <v>711</v>
      </c>
      <c r="B166" s="13" t="s">
        <v>712</v>
      </c>
      <c r="C166" s="13" t="s">
        <v>713</v>
      </c>
      <c r="D166" s="12" t="s">
        <v>556</v>
      </c>
      <c r="E166" s="12" t="s">
        <v>80</v>
      </c>
      <c r="F166" s="13" t="s">
        <v>714</v>
      </c>
      <c r="G166" s="19" t="n">
        <v>26.16</v>
      </c>
      <c r="H166" s="17" t="n">
        <v>1000</v>
      </c>
      <c r="I166" s="18" t="n">
        <f aca="false">IF(AND(ISNUMBER(G166),ISNUMBER(H166),H166&gt;0),G166/H166*1000,"")</f>
        <v>26.16</v>
      </c>
      <c r="J166" s="12"/>
      <c r="K166" s="12"/>
      <c r="L166" s="13"/>
    </row>
    <row r="167" customFormat="false" ht="15" hidden="false" customHeight="true" outlineLevel="0" collapsed="false">
      <c r="A167" s="12" t="s">
        <v>715</v>
      </c>
      <c r="B167" s="13" t="s">
        <v>716</v>
      </c>
      <c r="C167" s="13" t="s">
        <v>717</v>
      </c>
      <c r="D167" s="12" t="s">
        <v>46</v>
      </c>
      <c r="E167" s="12" t="s">
        <v>102</v>
      </c>
      <c r="F167" s="13" t="s">
        <v>48</v>
      </c>
      <c r="G167" s="16" t="n">
        <v>7.11</v>
      </c>
      <c r="H167" s="17" t="n">
        <v>1000</v>
      </c>
      <c r="I167" s="18" t="n">
        <f aca="false">IF(AND(ISNUMBER(G167),ISNUMBER(H167),H167&gt;0),G167/H167*1000,"")</f>
        <v>7.11</v>
      </c>
      <c r="J167" s="12" t="s">
        <v>103</v>
      </c>
      <c r="K167" s="12" t="s">
        <v>50</v>
      </c>
      <c r="L167" s="13" t="s">
        <v>718</v>
      </c>
    </row>
    <row r="168" customFormat="false" ht="15" hidden="false" customHeight="true" outlineLevel="0" collapsed="false">
      <c r="A168" s="12" t="s">
        <v>719</v>
      </c>
      <c r="B168" s="13" t="s">
        <v>720</v>
      </c>
      <c r="C168" s="13" t="s">
        <v>721</v>
      </c>
      <c r="D168" s="12" t="s">
        <v>46</v>
      </c>
      <c r="E168" s="12" t="s">
        <v>102</v>
      </c>
      <c r="F168" s="13" t="s">
        <v>48</v>
      </c>
      <c r="G168" s="16" t="n">
        <v>7.11</v>
      </c>
      <c r="H168" s="17" t="n">
        <v>1000</v>
      </c>
      <c r="I168" s="18" t="n">
        <f aca="false">IF(AND(ISNUMBER(G168),ISNUMBER(H168),H168&gt;0),G168/H168*1000,"")</f>
        <v>7.11</v>
      </c>
      <c r="J168" s="12" t="s">
        <v>103</v>
      </c>
      <c r="K168" s="12" t="s">
        <v>50</v>
      </c>
      <c r="L168" s="13" t="s">
        <v>718</v>
      </c>
    </row>
    <row r="169" customFormat="false" ht="15" hidden="false" customHeight="true" outlineLevel="0" collapsed="false">
      <c r="A169" s="12" t="s">
        <v>722</v>
      </c>
      <c r="B169" s="13" t="s">
        <v>723</v>
      </c>
      <c r="C169" s="13" t="s">
        <v>724</v>
      </c>
      <c r="D169" s="12" t="s">
        <v>556</v>
      </c>
      <c r="E169" s="12" t="s">
        <v>80</v>
      </c>
      <c r="F169" s="13" t="s">
        <v>725</v>
      </c>
      <c r="G169" s="19" t="n">
        <v>6.62</v>
      </c>
      <c r="H169" s="17" t="n">
        <v>690</v>
      </c>
      <c r="I169" s="18" t="n">
        <f aca="false">IF(AND(ISNUMBER(G169),ISNUMBER(H169),H169&gt;0),G169/H169*1000,"")</f>
        <v>9.59420289855073</v>
      </c>
      <c r="J169" s="12"/>
      <c r="K169" s="12"/>
      <c r="L169" s="13" t="s">
        <v>726</v>
      </c>
    </row>
    <row r="170" customFormat="false" ht="23.25" hidden="false" customHeight="true" outlineLevel="0" collapsed="false">
      <c r="A170" s="12" t="s">
        <v>727</v>
      </c>
      <c r="B170" s="13" t="s">
        <v>728</v>
      </c>
      <c r="C170" s="13" t="s">
        <v>729</v>
      </c>
      <c r="D170" s="12" t="s">
        <v>522</v>
      </c>
      <c r="E170" s="12" t="s">
        <v>47</v>
      </c>
      <c r="F170" s="13" t="s">
        <v>48</v>
      </c>
      <c r="G170" s="16" t="n">
        <v>1.58</v>
      </c>
      <c r="H170" s="17" t="n">
        <v>1000</v>
      </c>
      <c r="I170" s="18" t="n">
        <f aca="false">IF(AND(ISNUMBER(G170),ISNUMBER(H170),H170&gt;0),G170/H170*1000,"")</f>
        <v>1.58</v>
      </c>
      <c r="J170" s="12" t="s">
        <v>49</v>
      </c>
      <c r="K170" s="12" t="s">
        <v>50</v>
      </c>
      <c r="L170" s="13" t="s">
        <v>730</v>
      </c>
    </row>
    <row r="171" customFormat="false" ht="15" hidden="false" customHeight="true" outlineLevel="0" collapsed="false">
      <c r="A171" s="12" t="s">
        <v>731</v>
      </c>
      <c r="B171" s="13" t="s">
        <v>732</v>
      </c>
      <c r="C171" s="13" t="s">
        <v>733</v>
      </c>
      <c r="D171" s="12" t="s">
        <v>556</v>
      </c>
      <c r="E171" s="12" t="s">
        <v>80</v>
      </c>
      <c r="F171" s="13" t="s">
        <v>734</v>
      </c>
      <c r="G171" s="19" t="n">
        <v>2.26</v>
      </c>
      <c r="H171" s="17" t="n">
        <v>400</v>
      </c>
      <c r="I171" s="18" t="n">
        <f aca="false">IF(AND(ISNUMBER(G171),ISNUMBER(H171),H171&gt;0),G171/H171*1000,"")</f>
        <v>5.65</v>
      </c>
      <c r="J171" s="12"/>
      <c r="K171" s="12"/>
      <c r="L171" s="13"/>
    </row>
    <row r="172" customFormat="false" ht="23.25" hidden="false" customHeight="true" outlineLevel="0" collapsed="false">
      <c r="A172" s="12" t="s">
        <v>735</v>
      </c>
      <c r="B172" s="13" t="s">
        <v>736</v>
      </c>
      <c r="C172" s="13" t="s">
        <v>737</v>
      </c>
      <c r="D172" s="12" t="s">
        <v>556</v>
      </c>
      <c r="E172" s="12" t="s">
        <v>80</v>
      </c>
      <c r="F172" s="13" t="s">
        <v>738</v>
      </c>
      <c r="G172" s="19" t="n">
        <v>1.15</v>
      </c>
      <c r="H172" s="17" t="n">
        <v>1000</v>
      </c>
      <c r="I172" s="18" t="n">
        <f aca="false">IF(AND(ISNUMBER(G172),ISNUMBER(H172),H172&gt;0),G172/H172*1000,"")</f>
        <v>1.15</v>
      </c>
      <c r="J172" s="12"/>
      <c r="K172" s="12"/>
      <c r="L172" s="13"/>
    </row>
    <row r="173" customFormat="false" ht="15" hidden="false" customHeight="true" outlineLevel="0" collapsed="false">
      <c r="A173" s="12" t="s">
        <v>739</v>
      </c>
      <c r="B173" s="13" t="s">
        <v>740</v>
      </c>
      <c r="C173" s="13" t="s">
        <v>741</v>
      </c>
      <c r="D173" s="12" t="s">
        <v>556</v>
      </c>
      <c r="E173" s="12" t="s">
        <v>80</v>
      </c>
      <c r="F173" s="13" t="s">
        <v>532</v>
      </c>
      <c r="G173" s="19" t="n">
        <v>2.44</v>
      </c>
      <c r="H173" s="17" t="n">
        <v>150</v>
      </c>
      <c r="I173" s="18" t="n">
        <f aca="false">IF(AND(ISNUMBER(G173),ISNUMBER(H173),H173&gt;0),G173/H173*1000,"")</f>
        <v>16.2666666666667</v>
      </c>
      <c r="J173" s="12"/>
      <c r="K173" s="12"/>
      <c r="L173" s="13"/>
    </row>
    <row r="174" customFormat="false" ht="15" hidden="false" customHeight="true" outlineLevel="0" collapsed="false">
      <c r="A174" s="12" t="s">
        <v>742</v>
      </c>
      <c r="B174" s="13" t="s">
        <v>743</v>
      </c>
      <c r="C174" s="13" t="s">
        <v>744</v>
      </c>
      <c r="D174" s="12" t="s">
        <v>556</v>
      </c>
      <c r="E174" s="12" t="s">
        <v>80</v>
      </c>
      <c r="F174" s="13" t="s">
        <v>745</v>
      </c>
      <c r="G174" s="19" t="n">
        <v>1.83</v>
      </c>
      <c r="H174" s="17" t="n">
        <v>500</v>
      </c>
      <c r="I174" s="18" t="n">
        <f aca="false">IF(AND(ISNUMBER(G174),ISNUMBER(H174),H174&gt;0),G174/H174*1000,"")</f>
        <v>3.66</v>
      </c>
      <c r="J174" s="12"/>
      <c r="K174" s="12"/>
      <c r="L174" s="13" t="s">
        <v>587</v>
      </c>
    </row>
    <row r="175" customFormat="false" ht="15" hidden="false" customHeight="true" outlineLevel="0" collapsed="false">
      <c r="A175" s="12" t="s">
        <v>746</v>
      </c>
      <c r="B175" s="13" t="s">
        <v>747</v>
      </c>
      <c r="C175" s="13" t="s">
        <v>748</v>
      </c>
      <c r="D175" s="12" t="s">
        <v>556</v>
      </c>
      <c r="E175" s="12" t="s">
        <v>80</v>
      </c>
      <c r="F175" s="13" t="s">
        <v>749</v>
      </c>
      <c r="G175" s="19" t="n">
        <v>2.26</v>
      </c>
      <c r="H175" s="17" t="n">
        <v>250</v>
      </c>
      <c r="I175" s="18" t="n">
        <f aca="false">IF(AND(ISNUMBER(G175),ISNUMBER(H175),H175&gt;0),G175/H175*1000,"")</f>
        <v>9.04</v>
      </c>
      <c r="J175" s="12"/>
      <c r="K175" s="12"/>
      <c r="L175" s="13"/>
    </row>
    <row r="176" customFormat="false" ht="15" hidden="false" customHeight="true" outlineLevel="0" collapsed="false">
      <c r="A176" s="12" t="s">
        <v>750</v>
      </c>
      <c r="B176" s="13" t="s">
        <v>751</v>
      </c>
      <c r="C176" s="13" t="s">
        <v>752</v>
      </c>
      <c r="D176" s="12" t="s">
        <v>556</v>
      </c>
      <c r="E176" s="12" t="s">
        <v>80</v>
      </c>
      <c r="F176" s="13" t="s">
        <v>749</v>
      </c>
      <c r="G176" s="19" t="n">
        <v>2.26</v>
      </c>
      <c r="H176" s="17" t="n">
        <v>250</v>
      </c>
      <c r="I176" s="18" t="n">
        <f aca="false">IF(AND(ISNUMBER(G176),ISNUMBER(H176),H176&gt;0),G176/H176*1000,"")</f>
        <v>9.04</v>
      </c>
      <c r="J176" s="12"/>
      <c r="K176" s="12"/>
      <c r="L176" s="13"/>
    </row>
    <row r="177" customFormat="false" ht="15" hidden="false" customHeight="true" outlineLevel="0" collapsed="false">
      <c r="A177" s="12" t="s">
        <v>753</v>
      </c>
      <c r="B177" s="13" t="s">
        <v>754</v>
      </c>
      <c r="C177" s="13" t="s">
        <v>755</v>
      </c>
      <c r="D177" s="12" t="s">
        <v>556</v>
      </c>
      <c r="E177" s="12" t="s">
        <v>80</v>
      </c>
      <c r="F177" s="13" t="s">
        <v>756</v>
      </c>
      <c r="G177" s="19" t="n">
        <v>2.15</v>
      </c>
      <c r="H177" s="17" t="n">
        <v>500</v>
      </c>
      <c r="I177" s="18" t="n">
        <f aca="false">IF(AND(ISNUMBER(G177),ISNUMBER(H177),H177&gt;0),G177/H177*1000,"")</f>
        <v>4.3</v>
      </c>
      <c r="J177" s="12"/>
      <c r="K177" s="12"/>
      <c r="L177" s="13"/>
    </row>
    <row r="178" customFormat="false" ht="15" hidden="false" customHeight="true" outlineLevel="0" collapsed="false">
      <c r="A178" s="12" t="s">
        <v>757</v>
      </c>
      <c r="B178" s="13" t="s">
        <v>758</v>
      </c>
      <c r="C178" s="13" t="s">
        <v>759</v>
      </c>
      <c r="D178" s="12" t="s">
        <v>556</v>
      </c>
      <c r="E178" s="12" t="s">
        <v>80</v>
      </c>
      <c r="F178" s="13" t="s">
        <v>547</v>
      </c>
      <c r="G178" s="19" t="n">
        <v>10.96</v>
      </c>
      <c r="H178" s="17" t="n">
        <v>1000</v>
      </c>
      <c r="I178" s="18" t="n">
        <f aca="false">IF(AND(ISNUMBER(G178),ISNUMBER(H178),H178&gt;0),G178/H178*1000,"")</f>
        <v>10.96</v>
      </c>
      <c r="J178" s="12"/>
      <c r="K178" s="12"/>
      <c r="L178" s="13" t="s">
        <v>760</v>
      </c>
    </row>
    <row r="179" customFormat="false" ht="15" hidden="false" customHeight="true" outlineLevel="0" collapsed="false">
      <c r="A179" s="12" t="s">
        <v>761</v>
      </c>
      <c r="B179" s="13" t="s">
        <v>762</v>
      </c>
      <c r="C179" s="13" t="s">
        <v>763</v>
      </c>
      <c r="D179" s="12" t="s">
        <v>556</v>
      </c>
      <c r="E179" s="12" t="s">
        <v>80</v>
      </c>
      <c r="F179" s="13" t="s">
        <v>764</v>
      </c>
      <c r="G179" s="19" t="n">
        <v>23.24</v>
      </c>
      <c r="H179" s="17" t="n">
        <v>1000</v>
      </c>
      <c r="I179" s="18" t="n">
        <f aca="false">IF(AND(ISNUMBER(G179),ISNUMBER(H179),H179&gt;0),G179/H179*1000,"")</f>
        <v>23.24</v>
      </c>
      <c r="J179" s="12"/>
      <c r="K179" s="12"/>
      <c r="L179" s="13"/>
    </row>
    <row r="180" customFormat="false" ht="15" hidden="false" customHeight="true" outlineLevel="0" collapsed="false">
      <c r="A180" s="12" t="s">
        <v>765</v>
      </c>
      <c r="B180" s="13" t="s">
        <v>766</v>
      </c>
      <c r="C180" s="13" t="s">
        <v>767</v>
      </c>
      <c r="D180" s="12" t="s">
        <v>556</v>
      </c>
      <c r="E180" s="12" t="s">
        <v>80</v>
      </c>
      <c r="F180" s="13" t="s">
        <v>547</v>
      </c>
      <c r="G180" s="19" t="n">
        <v>10.96</v>
      </c>
      <c r="H180" s="17" t="n">
        <v>1000</v>
      </c>
      <c r="I180" s="18" t="n">
        <f aca="false">IF(AND(ISNUMBER(G180),ISNUMBER(H180),H180&gt;0),G180/H180*1000,"")</f>
        <v>10.96</v>
      </c>
      <c r="J180" s="12"/>
      <c r="K180" s="12"/>
      <c r="L180" s="13" t="s">
        <v>760</v>
      </c>
    </row>
    <row r="181" customFormat="false" ht="15" hidden="false" customHeight="true" outlineLevel="0" collapsed="false">
      <c r="A181" s="12" t="s">
        <v>768</v>
      </c>
      <c r="B181" s="13" t="s">
        <v>769</v>
      </c>
      <c r="C181" s="13" t="s">
        <v>770</v>
      </c>
      <c r="D181" s="12" t="s">
        <v>556</v>
      </c>
      <c r="E181" s="12" t="s">
        <v>80</v>
      </c>
      <c r="F181" s="13" t="s">
        <v>542</v>
      </c>
      <c r="G181" s="19" t="n">
        <v>9.1</v>
      </c>
      <c r="H181" s="17" t="n">
        <v>1000</v>
      </c>
      <c r="I181" s="18" t="n">
        <f aca="false">IF(AND(ISNUMBER(G181),ISNUMBER(H181),H181&gt;0),G181/H181*1000,"")</f>
        <v>9.1</v>
      </c>
      <c r="J181" s="12"/>
      <c r="K181" s="12"/>
      <c r="L181" s="13"/>
    </row>
    <row r="182" customFormat="false" ht="15" hidden="false" customHeight="true" outlineLevel="0" collapsed="false">
      <c r="A182" s="12" t="s">
        <v>771</v>
      </c>
      <c r="B182" s="13" t="s">
        <v>772</v>
      </c>
      <c r="C182" s="13" t="s">
        <v>773</v>
      </c>
      <c r="D182" s="12" t="s">
        <v>556</v>
      </c>
      <c r="E182" s="12" t="s">
        <v>80</v>
      </c>
      <c r="F182" s="13" t="s">
        <v>774</v>
      </c>
      <c r="G182" s="19" t="n">
        <v>4.54</v>
      </c>
      <c r="H182" s="17" t="n">
        <v>1000</v>
      </c>
      <c r="I182" s="18" t="n">
        <f aca="false">IF(AND(ISNUMBER(G182),ISNUMBER(H182),H182&gt;0),G182/H182*1000,"")</f>
        <v>4.54</v>
      </c>
      <c r="J182" s="12"/>
      <c r="K182" s="12"/>
      <c r="L182" s="13" t="s">
        <v>775</v>
      </c>
    </row>
    <row r="183" customFormat="false" ht="15" hidden="false" customHeight="true" outlineLevel="0" collapsed="false">
      <c r="A183" s="12" t="s">
        <v>776</v>
      </c>
      <c r="B183" s="13" t="s">
        <v>777</v>
      </c>
      <c r="C183" s="13" t="s">
        <v>778</v>
      </c>
      <c r="D183" s="12" t="s">
        <v>556</v>
      </c>
      <c r="E183" s="12" t="s">
        <v>80</v>
      </c>
      <c r="F183" s="13" t="s">
        <v>547</v>
      </c>
      <c r="G183" s="19" t="n">
        <v>10.96</v>
      </c>
      <c r="H183" s="17" t="n">
        <v>1000</v>
      </c>
      <c r="I183" s="18" t="n">
        <f aca="false">IF(AND(ISNUMBER(G183),ISNUMBER(H183),H183&gt;0),G183/H183*1000,"")</f>
        <v>10.96</v>
      </c>
      <c r="J183" s="12"/>
      <c r="K183" s="12"/>
      <c r="L183" s="13"/>
    </row>
    <row r="184" customFormat="false" ht="15" hidden="false" customHeight="true" outlineLevel="0" collapsed="false">
      <c r="A184" s="12" t="s">
        <v>779</v>
      </c>
      <c r="B184" s="13" t="s">
        <v>780</v>
      </c>
      <c r="C184" s="13" t="s">
        <v>781</v>
      </c>
      <c r="D184" s="12" t="s">
        <v>556</v>
      </c>
      <c r="E184" s="12" t="s">
        <v>80</v>
      </c>
      <c r="F184" s="13" t="s">
        <v>764</v>
      </c>
      <c r="G184" s="19" t="n">
        <v>23.24</v>
      </c>
      <c r="H184" s="17" t="n">
        <v>1000</v>
      </c>
      <c r="I184" s="18" t="n">
        <f aca="false">IF(AND(ISNUMBER(G184),ISNUMBER(H184),H184&gt;0),G184/H184*1000,"")</f>
        <v>23.24</v>
      </c>
      <c r="J184" s="12"/>
      <c r="K184" s="12"/>
      <c r="L184" s="13"/>
    </row>
    <row r="185" customFormat="false" ht="15" hidden="false" customHeight="true" outlineLevel="0" collapsed="false">
      <c r="A185" s="12" t="s">
        <v>782</v>
      </c>
      <c r="B185" s="13" t="s">
        <v>783</v>
      </c>
      <c r="C185" s="13" t="s">
        <v>784</v>
      </c>
      <c r="D185" s="12" t="s">
        <v>556</v>
      </c>
      <c r="E185" s="12" t="s">
        <v>80</v>
      </c>
      <c r="F185" s="13" t="s">
        <v>785</v>
      </c>
      <c r="G185" s="19" t="n">
        <v>9.39</v>
      </c>
      <c r="H185" s="17" t="n">
        <v>1000</v>
      </c>
      <c r="I185" s="18" t="n">
        <f aca="false">IF(AND(ISNUMBER(G185),ISNUMBER(H185),H185&gt;0),G185/H185*1000,"")</f>
        <v>9.39</v>
      </c>
      <c r="J185" s="12"/>
      <c r="K185" s="12"/>
      <c r="L185" s="13"/>
    </row>
    <row r="186" customFormat="false" ht="15" hidden="false" customHeight="true" outlineLevel="0" collapsed="false">
      <c r="A186" s="12" t="s">
        <v>786</v>
      </c>
      <c r="B186" s="13" t="s">
        <v>787</v>
      </c>
      <c r="C186" s="13" t="s">
        <v>788</v>
      </c>
      <c r="D186" s="12" t="s">
        <v>556</v>
      </c>
      <c r="E186" s="12" t="s">
        <v>80</v>
      </c>
      <c r="F186" s="13" t="s">
        <v>789</v>
      </c>
      <c r="G186" s="19" t="n">
        <v>8.58</v>
      </c>
      <c r="H186" s="17" t="n">
        <v>1000</v>
      </c>
      <c r="I186" s="18" t="n">
        <f aca="false">IF(AND(ISNUMBER(G186),ISNUMBER(H186),H186&gt;0),G186/H186*1000,"")</f>
        <v>8.58</v>
      </c>
      <c r="J186" s="12"/>
      <c r="K186" s="12"/>
      <c r="L186" s="13"/>
    </row>
    <row r="187" customFormat="false" ht="23.25" hidden="false" customHeight="true" outlineLevel="0" collapsed="false">
      <c r="A187" s="12" t="s">
        <v>790</v>
      </c>
      <c r="B187" s="13" t="s">
        <v>791</v>
      </c>
      <c r="C187" s="13" t="s">
        <v>792</v>
      </c>
      <c r="D187" s="12" t="s">
        <v>556</v>
      </c>
      <c r="E187" s="12" t="s">
        <v>80</v>
      </c>
      <c r="F187" s="13" t="s">
        <v>793</v>
      </c>
      <c r="G187" s="19" t="n">
        <v>2.5</v>
      </c>
      <c r="H187" s="17" t="n">
        <v>150</v>
      </c>
      <c r="I187" s="18" t="n">
        <f aca="false">IF(AND(ISNUMBER(G187),ISNUMBER(H187),H187&gt;0),G187/H187*1000,"")</f>
        <v>16.6666666666667</v>
      </c>
      <c r="J187" s="12"/>
      <c r="K187" s="12"/>
      <c r="L187" s="13"/>
    </row>
    <row r="188" customFormat="false" ht="15" hidden="false" customHeight="true" outlineLevel="0" collapsed="false">
      <c r="A188" s="12" t="s">
        <v>794</v>
      </c>
      <c r="B188" s="13" t="s">
        <v>795</v>
      </c>
      <c r="C188" s="13" t="s">
        <v>796</v>
      </c>
      <c r="D188" s="12" t="s">
        <v>556</v>
      </c>
      <c r="E188" s="12" t="s">
        <v>80</v>
      </c>
      <c r="F188" s="13" t="s">
        <v>789</v>
      </c>
      <c r="G188" s="19" t="n">
        <v>8.58</v>
      </c>
      <c r="H188" s="17" t="n">
        <v>1000</v>
      </c>
      <c r="I188" s="18" t="n">
        <f aca="false">IF(AND(ISNUMBER(G188),ISNUMBER(H188),H188&gt;0),G188/H188*1000,"")</f>
        <v>8.58</v>
      </c>
      <c r="J188" s="12"/>
      <c r="K188" s="12"/>
      <c r="L188" s="13"/>
    </row>
    <row r="189" customFormat="false" ht="15" hidden="false" customHeight="true" outlineLevel="0" collapsed="false">
      <c r="A189" s="12" t="s">
        <v>797</v>
      </c>
      <c r="B189" s="13" t="s">
        <v>798</v>
      </c>
      <c r="C189" s="13" t="s">
        <v>799</v>
      </c>
      <c r="D189" s="12" t="s">
        <v>556</v>
      </c>
      <c r="E189" s="12" t="s">
        <v>80</v>
      </c>
      <c r="F189" s="13" t="s">
        <v>800</v>
      </c>
      <c r="G189" s="19" t="n">
        <v>6.78</v>
      </c>
      <c r="H189" s="17" t="n">
        <v>1000</v>
      </c>
      <c r="I189" s="18" t="n">
        <f aca="false">IF(AND(ISNUMBER(G189),ISNUMBER(H189),H189&gt;0),G189/H189*1000,"")</f>
        <v>6.78</v>
      </c>
      <c r="J189" s="12"/>
      <c r="K189" s="12"/>
      <c r="L189" s="13"/>
    </row>
    <row r="190" customFormat="false" ht="23.25" hidden="false" customHeight="true" outlineLevel="0" collapsed="false">
      <c r="A190" s="12" t="s">
        <v>801</v>
      </c>
      <c r="B190" s="13" t="s">
        <v>802</v>
      </c>
      <c r="C190" s="13" t="s">
        <v>803</v>
      </c>
      <c r="D190" s="12" t="s">
        <v>46</v>
      </c>
      <c r="E190" s="12" t="s">
        <v>102</v>
      </c>
      <c r="F190" s="13" t="s">
        <v>48</v>
      </c>
      <c r="G190" s="16" t="n">
        <v>1.94</v>
      </c>
      <c r="H190" s="17" t="n">
        <v>1000</v>
      </c>
      <c r="I190" s="18" t="n">
        <f aca="false">IF(AND(ISNUMBER(G190),ISNUMBER(H190),H190&gt;0),G190/H190*1000,"")</f>
        <v>1.94</v>
      </c>
      <c r="J190" s="12" t="s">
        <v>165</v>
      </c>
      <c r="K190" s="12" t="s">
        <v>50</v>
      </c>
      <c r="L190" s="13" t="s">
        <v>804</v>
      </c>
    </row>
    <row r="191" customFormat="false" ht="15" hidden="false" customHeight="true" outlineLevel="0" collapsed="false">
      <c r="A191" s="12" t="s">
        <v>805</v>
      </c>
      <c r="B191" s="13" t="s">
        <v>806</v>
      </c>
      <c r="C191" s="13" t="s">
        <v>807</v>
      </c>
      <c r="D191" s="12" t="s">
        <v>556</v>
      </c>
      <c r="E191" s="12" t="s">
        <v>80</v>
      </c>
      <c r="F191" s="13" t="s">
        <v>808</v>
      </c>
      <c r="G191" s="19" t="n">
        <v>1.79</v>
      </c>
      <c r="H191" s="17" t="n">
        <v>1000</v>
      </c>
      <c r="I191" s="18" t="n">
        <f aca="false">IF(AND(ISNUMBER(G191),ISNUMBER(H191),H191&gt;0),G191/H191*1000,"")</f>
        <v>1.79</v>
      </c>
      <c r="J191" s="12"/>
      <c r="K191" s="12"/>
      <c r="L191" s="13" t="s">
        <v>587</v>
      </c>
    </row>
    <row r="192" customFormat="false" ht="15" hidden="false" customHeight="true" outlineLevel="0" collapsed="false">
      <c r="A192" s="12" t="s">
        <v>809</v>
      </c>
      <c r="B192" s="13" t="s">
        <v>810</v>
      </c>
      <c r="C192" s="13" t="s">
        <v>811</v>
      </c>
      <c r="D192" s="12" t="s">
        <v>812</v>
      </c>
      <c r="E192" s="12" t="s">
        <v>813</v>
      </c>
      <c r="F192" s="13"/>
      <c r="G192" s="19" t="n">
        <v>0</v>
      </c>
      <c r="H192" s="17" t="n">
        <v>1000</v>
      </c>
      <c r="I192" s="18" t="n">
        <f aca="false">IF(AND(ISNUMBER(G192),ISNUMBER(H192),H192&gt;0),G192/H192*1000,"")</f>
        <v>0</v>
      </c>
      <c r="J192" s="12"/>
      <c r="K192" s="12"/>
      <c r="L192" s="13" t="s">
        <v>814</v>
      </c>
    </row>
  </sheetData>
  <autoFilter ref="A1:L192"/>
  <dataValidations count="1">
    <dataValidation allowBlank="true" error="Enter a number (no £ sign)." errorStyle="stop" operator="greaterThanOrEqual" showDropDown="false" showErrorMessage="true" showInputMessage="false" sqref="G3:H192"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4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2"/>
    <col collapsed="false" customWidth="true" hidden="false" outlineLevel="0" max="9" min="9" style="0" width="40"/>
    <col collapsed="false" customWidth="true" hidden="false" outlineLevel="0" max="10" min="10" style="0" width="7"/>
    <col collapsed="false" customWidth="true" hidden="false" outlineLevel="0" max="11" min="11" style="0" width="50"/>
    <col collapsed="false" customWidth="true" hidden="false" outlineLevel="0" max="12" min="12" style="0" width="11"/>
    <col collapsed="false" customWidth="true" hidden="false" outlineLevel="0" max="13" min="13" style="0" width="60"/>
  </cols>
  <sheetData>
    <row r="1" customFormat="false" ht="15" hidden="false" customHeight="false" outlineLevel="0" collapsed="false">
      <c r="A1" s="23" t="s">
        <v>22</v>
      </c>
      <c r="B1" s="23" t="s">
        <v>31</v>
      </c>
      <c r="C1" s="23" t="s">
        <v>815</v>
      </c>
      <c r="D1" s="23" t="s">
        <v>28</v>
      </c>
      <c r="E1" s="23" t="s">
        <v>816</v>
      </c>
      <c r="F1" s="23" t="s">
        <v>29</v>
      </c>
      <c r="G1" s="23" t="s">
        <v>817</v>
      </c>
      <c r="H1" s="23" t="s">
        <v>30</v>
      </c>
      <c r="I1" s="23" t="s">
        <v>818</v>
      </c>
      <c r="J1" s="23" t="s">
        <v>819</v>
      </c>
      <c r="K1" s="23" t="s">
        <v>820</v>
      </c>
      <c r="L1" s="23" t="s">
        <v>821</v>
      </c>
      <c r="M1" s="23" t="s">
        <v>822</v>
      </c>
    </row>
    <row r="2" customFormat="false" ht="15" hidden="false" customHeight="false" outlineLevel="0" collapsed="false">
      <c r="A2" s="24" t="s">
        <v>43</v>
      </c>
      <c r="B2" s="24" t="s">
        <v>823</v>
      </c>
      <c r="C2" s="24" t="s">
        <v>824</v>
      </c>
      <c r="D2" s="25" t="n">
        <v>1</v>
      </c>
      <c r="E2" s="24" t="s">
        <v>825</v>
      </c>
      <c r="F2" s="24" t="s">
        <v>826</v>
      </c>
      <c r="G2" s="24" t="s">
        <v>827</v>
      </c>
      <c r="H2" s="25" t="n">
        <v>2</v>
      </c>
      <c r="I2" s="24" t="s">
        <v>828</v>
      </c>
      <c r="J2" s="24" t="s">
        <v>829</v>
      </c>
      <c r="K2" s="24" t="s">
        <v>830</v>
      </c>
      <c r="L2" s="24" t="s">
        <v>831</v>
      </c>
      <c r="M2" s="24" t="s">
        <v>832</v>
      </c>
    </row>
    <row r="3" customFormat="false" ht="15" hidden="false" customHeight="false" outlineLevel="0" collapsed="false">
      <c r="A3" s="24" t="s">
        <v>43</v>
      </c>
      <c r="B3" s="24" t="s">
        <v>833</v>
      </c>
      <c r="C3" s="24" t="s">
        <v>834</v>
      </c>
      <c r="D3" s="25" t="n">
        <v>1.3</v>
      </c>
      <c r="E3" s="24" t="s">
        <v>835</v>
      </c>
      <c r="F3" s="24" t="s">
        <v>836</v>
      </c>
      <c r="G3" s="24" t="s">
        <v>837</v>
      </c>
      <c r="H3" s="25" t="n">
        <v>1.3</v>
      </c>
      <c r="I3" s="24" t="s">
        <v>828</v>
      </c>
      <c r="J3" s="24" t="s">
        <v>829</v>
      </c>
      <c r="K3" s="24" t="s">
        <v>838</v>
      </c>
      <c r="L3" s="24" t="s">
        <v>831</v>
      </c>
      <c r="M3" s="24" t="s">
        <v>839</v>
      </c>
    </row>
    <row r="4" customFormat="false" ht="15" hidden="false" customHeight="false" outlineLevel="0" collapsed="false">
      <c r="A4" s="24" t="s">
        <v>43</v>
      </c>
      <c r="B4" s="24" t="s">
        <v>40</v>
      </c>
      <c r="C4" s="24" t="s">
        <v>840</v>
      </c>
      <c r="D4" s="25" t="n">
        <v>1.25</v>
      </c>
      <c r="E4" s="24" t="s">
        <v>841</v>
      </c>
      <c r="F4" s="24" t="s">
        <v>836</v>
      </c>
      <c r="G4" s="24" t="s">
        <v>842</v>
      </c>
      <c r="H4" s="25" t="n">
        <v>1.25</v>
      </c>
      <c r="I4" s="24" t="s">
        <v>828</v>
      </c>
      <c r="J4" s="24" t="s">
        <v>829</v>
      </c>
      <c r="K4" s="24" t="s">
        <v>843</v>
      </c>
      <c r="L4" s="24" t="s">
        <v>831</v>
      </c>
      <c r="M4" s="24" t="s">
        <v>844</v>
      </c>
    </row>
    <row r="5" customFormat="false" ht="15" hidden="false" customHeight="false" outlineLevel="0" collapsed="false">
      <c r="A5" s="24" t="s">
        <v>52</v>
      </c>
      <c r="B5" s="24" t="s">
        <v>823</v>
      </c>
      <c r="C5" s="24" t="s">
        <v>845</v>
      </c>
      <c r="D5" s="25" t="n">
        <v>1.39</v>
      </c>
      <c r="E5" s="24" t="s">
        <v>835</v>
      </c>
      <c r="F5" s="24" t="s">
        <v>836</v>
      </c>
      <c r="G5" s="24" t="s">
        <v>846</v>
      </c>
      <c r="H5" s="25" t="n">
        <v>1.39</v>
      </c>
      <c r="I5" s="24" t="s">
        <v>828</v>
      </c>
      <c r="J5" s="24" t="s">
        <v>829</v>
      </c>
      <c r="K5" s="24" t="s">
        <v>847</v>
      </c>
      <c r="L5" s="24" t="s">
        <v>831</v>
      </c>
      <c r="M5" s="24" t="s">
        <v>848</v>
      </c>
    </row>
    <row r="6" customFormat="false" ht="15" hidden="false" customHeight="false" outlineLevel="0" collapsed="false">
      <c r="A6" s="24" t="s">
        <v>52</v>
      </c>
      <c r="B6" s="24" t="s">
        <v>833</v>
      </c>
      <c r="C6" s="24" t="s">
        <v>849</v>
      </c>
      <c r="D6" s="25" t="n">
        <v>0.69</v>
      </c>
      <c r="E6" s="24" t="s">
        <v>825</v>
      </c>
      <c r="F6" s="24" t="s">
        <v>826</v>
      </c>
      <c r="G6" s="24" t="s">
        <v>850</v>
      </c>
      <c r="H6" s="25" t="n">
        <v>1.38</v>
      </c>
      <c r="I6" s="24" t="s">
        <v>828</v>
      </c>
      <c r="J6" s="24" t="s">
        <v>829</v>
      </c>
      <c r="K6" s="24" t="s">
        <v>851</v>
      </c>
      <c r="L6" s="24" t="s">
        <v>831</v>
      </c>
      <c r="M6" s="24" t="s">
        <v>852</v>
      </c>
    </row>
    <row r="7" customFormat="false" ht="15" hidden="false" customHeight="false" outlineLevel="0" collapsed="false">
      <c r="A7" s="24" t="s">
        <v>52</v>
      </c>
      <c r="B7" s="24" t="s">
        <v>40</v>
      </c>
      <c r="C7" s="24" t="s">
        <v>853</v>
      </c>
      <c r="D7" s="25" t="n">
        <v>1.39</v>
      </c>
      <c r="E7" s="24" t="s">
        <v>841</v>
      </c>
      <c r="F7" s="24" t="s">
        <v>836</v>
      </c>
      <c r="G7" s="24" t="s">
        <v>846</v>
      </c>
      <c r="H7" s="25" t="n">
        <v>1.39</v>
      </c>
      <c r="I7" s="24" t="s">
        <v>828</v>
      </c>
      <c r="J7" s="24" t="s">
        <v>829</v>
      </c>
      <c r="K7" s="24" t="s">
        <v>854</v>
      </c>
      <c r="L7" s="24" t="s">
        <v>831</v>
      </c>
      <c r="M7" s="24" t="s">
        <v>855</v>
      </c>
    </row>
    <row r="8" customFormat="false" ht="15" hidden="false" customHeight="false" outlineLevel="0" collapsed="false">
      <c r="A8" s="24" t="s">
        <v>56</v>
      </c>
      <c r="B8" s="24" t="s">
        <v>823</v>
      </c>
      <c r="C8" s="24" t="s">
        <v>856</v>
      </c>
      <c r="D8" s="25" t="n">
        <v>3</v>
      </c>
      <c r="E8" s="24" t="s">
        <v>825</v>
      </c>
      <c r="F8" s="24" t="s">
        <v>826</v>
      </c>
      <c r="G8" s="24" t="s">
        <v>857</v>
      </c>
      <c r="H8" s="25" t="n">
        <v>6</v>
      </c>
      <c r="I8" s="24" t="s">
        <v>828</v>
      </c>
      <c r="J8" s="24" t="s">
        <v>829</v>
      </c>
      <c r="K8" s="24" t="s">
        <v>858</v>
      </c>
      <c r="L8" s="24" t="s">
        <v>831</v>
      </c>
      <c r="M8" s="24" t="s">
        <v>859</v>
      </c>
    </row>
    <row r="9" customFormat="false" ht="15" hidden="false" customHeight="false" outlineLevel="0" collapsed="false">
      <c r="A9" s="24" t="s">
        <v>56</v>
      </c>
      <c r="B9" s="24" t="s">
        <v>833</v>
      </c>
      <c r="C9" s="24" t="s">
        <v>860</v>
      </c>
      <c r="D9" s="25" t="n">
        <v>2.25</v>
      </c>
      <c r="E9" s="24" t="s">
        <v>825</v>
      </c>
      <c r="F9" s="24" t="s">
        <v>826</v>
      </c>
      <c r="G9" s="24" t="s">
        <v>861</v>
      </c>
      <c r="H9" s="25" t="n">
        <v>4.5</v>
      </c>
      <c r="I9" s="24" t="s">
        <v>828</v>
      </c>
      <c r="J9" s="24" t="s">
        <v>829</v>
      </c>
      <c r="K9" s="24" t="s">
        <v>862</v>
      </c>
      <c r="L9" s="24" t="s">
        <v>831</v>
      </c>
      <c r="M9" s="24"/>
    </row>
    <row r="10" customFormat="false" ht="15" hidden="false" customHeight="false" outlineLevel="0" collapsed="false">
      <c r="A10" s="24" t="s">
        <v>56</v>
      </c>
      <c r="B10" s="24" t="s">
        <v>40</v>
      </c>
      <c r="C10" s="24" t="s">
        <v>863</v>
      </c>
      <c r="D10" s="25" t="n">
        <v>3.3</v>
      </c>
      <c r="E10" s="24" t="s">
        <v>841</v>
      </c>
      <c r="F10" s="24" t="s">
        <v>836</v>
      </c>
      <c r="G10" s="24" t="s">
        <v>864</v>
      </c>
      <c r="H10" s="25" t="n">
        <v>3.3</v>
      </c>
      <c r="I10" s="24" t="s">
        <v>828</v>
      </c>
      <c r="J10" s="24" t="s">
        <v>829</v>
      </c>
      <c r="K10" s="24" t="s">
        <v>865</v>
      </c>
      <c r="L10" s="24" t="s">
        <v>831</v>
      </c>
      <c r="M10" s="24" t="s">
        <v>866</v>
      </c>
    </row>
    <row r="11" customFormat="false" ht="15" hidden="false" customHeight="false" outlineLevel="0" collapsed="false">
      <c r="A11" s="24" t="s">
        <v>60</v>
      </c>
      <c r="B11" s="24" t="s">
        <v>823</v>
      </c>
      <c r="C11" s="24" t="s">
        <v>867</v>
      </c>
      <c r="D11" s="25" t="n">
        <v>1.95</v>
      </c>
      <c r="E11" s="24" t="s">
        <v>835</v>
      </c>
      <c r="F11" s="24" t="s">
        <v>836</v>
      </c>
      <c r="G11" s="24" t="s">
        <v>868</v>
      </c>
      <c r="H11" s="25" t="n">
        <v>1.95</v>
      </c>
      <c r="I11" s="24" t="s">
        <v>828</v>
      </c>
      <c r="J11" s="24" t="s">
        <v>829</v>
      </c>
      <c r="K11" s="24" t="s">
        <v>869</v>
      </c>
      <c r="L11" s="24" t="s">
        <v>831</v>
      </c>
      <c r="M11" s="24" t="s">
        <v>870</v>
      </c>
    </row>
    <row r="12" customFormat="false" ht="15" hidden="false" customHeight="false" outlineLevel="0" collapsed="false">
      <c r="A12" s="24" t="s">
        <v>60</v>
      </c>
      <c r="B12" s="24" t="s">
        <v>833</v>
      </c>
      <c r="C12" s="24" t="s">
        <v>871</v>
      </c>
      <c r="D12" s="25" t="n">
        <v>1.5</v>
      </c>
      <c r="E12" s="24" t="s">
        <v>872</v>
      </c>
      <c r="F12" s="24" t="s">
        <v>873</v>
      </c>
      <c r="G12" s="24" t="s">
        <v>874</v>
      </c>
      <c r="H12" s="25" t="n">
        <v>1</v>
      </c>
      <c r="I12" s="24" t="s">
        <v>828</v>
      </c>
      <c r="J12" s="24" t="s">
        <v>829</v>
      </c>
      <c r="K12" s="24" t="s">
        <v>875</v>
      </c>
      <c r="L12" s="24" t="s">
        <v>831</v>
      </c>
      <c r="M12" s="24" t="s">
        <v>876</v>
      </c>
    </row>
    <row r="13" customFormat="false" ht="15" hidden="false" customHeight="false" outlineLevel="0" collapsed="false">
      <c r="A13" s="24" t="s">
        <v>60</v>
      </c>
      <c r="B13" s="24" t="s">
        <v>40</v>
      </c>
      <c r="C13" s="24" t="s">
        <v>877</v>
      </c>
      <c r="D13" s="25" t="n">
        <v>1.6</v>
      </c>
      <c r="E13" s="24" t="s">
        <v>878</v>
      </c>
      <c r="F13" s="24" t="s">
        <v>873</v>
      </c>
      <c r="G13" s="24" t="s">
        <v>879</v>
      </c>
      <c r="H13" s="25" t="n">
        <v>1.07</v>
      </c>
      <c r="I13" s="24" t="s">
        <v>828</v>
      </c>
      <c r="J13" s="24" t="s">
        <v>829</v>
      </c>
      <c r="K13" s="24" t="s">
        <v>880</v>
      </c>
      <c r="L13" s="24" t="s">
        <v>831</v>
      </c>
      <c r="M13" s="24" t="s">
        <v>881</v>
      </c>
    </row>
    <row r="14" customFormat="false" ht="15" hidden="false" customHeight="false" outlineLevel="0" collapsed="false">
      <c r="A14" s="24" t="s">
        <v>64</v>
      </c>
      <c r="B14" s="24" t="s">
        <v>823</v>
      </c>
      <c r="C14" s="24" t="s">
        <v>882</v>
      </c>
      <c r="D14" s="25" t="n">
        <v>1.5</v>
      </c>
      <c r="E14" s="24" t="s">
        <v>883</v>
      </c>
      <c r="F14" s="24" t="s">
        <v>884</v>
      </c>
      <c r="G14" s="24" t="s">
        <v>885</v>
      </c>
      <c r="H14" s="25" t="n">
        <v>5.77</v>
      </c>
      <c r="I14" s="24" t="s">
        <v>828</v>
      </c>
      <c r="J14" s="24" t="s">
        <v>829</v>
      </c>
      <c r="K14" s="24" t="s">
        <v>886</v>
      </c>
      <c r="L14" s="24" t="s">
        <v>831</v>
      </c>
      <c r="M14" s="24"/>
    </row>
    <row r="15" customFormat="false" ht="15" hidden="false" customHeight="false" outlineLevel="0" collapsed="false">
      <c r="A15" s="24" t="s">
        <v>64</v>
      </c>
      <c r="B15" s="24" t="s">
        <v>833</v>
      </c>
      <c r="C15" s="24" t="s">
        <v>887</v>
      </c>
      <c r="D15" s="25" t="n">
        <v>0.69</v>
      </c>
      <c r="E15" s="24" t="s">
        <v>888</v>
      </c>
      <c r="F15" s="24" t="s">
        <v>884</v>
      </c>
      <c r="G15" s="24" t="s">
        <v>889</v>
      </c>
      <c r="H15" s="25" t="n">
        <v>2.65</v>
      </c>
      <c r="I15" s="24" t="s">
        <v>828</v>
      </c>
      <c r="J15" s="24" t="s">
        <v>829</v>
      </c>
      <c r="K15" s="24" t="s">
        <v>890</v>
      </c>
      <c r="L15" s="24" t="s">
        <v>831</v>
      </c>
      <c r="M15" s="24" t="s">
        <v>891</v>
      </c>
    </row>
    <row r="16" customFormat="false" ht="15" hidden="false" customHeight="false" outlineLevel="0" collapsed="false">
      <c r="A16" s="24" t="s">
        <v>64</v>
      </c>
      <c r="B16" s="24" t="s">
        <v>40</v>
      </c>
      <c r="C16" s="24" t="s">
        <v>892</v>
      </c>
      <c r="D16" s="25" t="n">
        <v>0.69</v>
      </c>
      <c r="E16" s="24" t="s">
        <v>893</v>
      </c>
      <c r="F16" s="24" t="s">
        <v>884</v>
      </c>
      <c r="G16" s="24" t="s">
        <v>889</v>
      </c>
      <c r="H16" s="25" t="n">
        <v>2.65</v>
      </c>
      <c r="I16" s="24" t="s">
        <v>828</v>
      </c>
      <c r="J16" s="24" t="s">
        <v>829</v>
      </c>
      <c r="K16" s="24" t="s">
        <v>894</v>
      </c>
      <c r="L16" s="24" t="s">
        <v>831</v>
      </c>
      <c r="M16" s="24" t="s">
        <v>895</v>
      </c>
    </row>
    <row r="17" customFormat="false" ht="15" hidden="false" customHeight="false" outlineLevel="0" collapsed="false">
      <c r="A17" s="24" t="s">
        <v>68</v>
      </c>
      <c r="B17" s="24" t="s">
        <v>823</v>
      </c>
      <c r="C17" s="24" t="s">
        <v>896</v>
      </c>
      <c r="D17" s="25" t="n">
        <v>0.5</v>
      </c>
      <c r="E17" s="24" t="s">
        <v>897</v>
      </c>
      <c r="F17" s="24"/>
      <c r="G17" s="24" t="s">
        <v>898</v>
      </c>
      <c r="H17" s="25" t="n">
        <v>1.39</v>
      </c>
      <c r="I17" s="24" t="s">
        <v>899</v>
      </c>
      <c r="J17" s="24" t="s">
        <v>829</v>
      </c>
      <c r="K17" s="24" t="s">
        <v>900</v>
      </c>
      <c r="L17" s="24" t="s">
        <v>831</v>
      </c>
      <c r="M17" s="24" t="s">
        <v>901</v>
      </c>
    </row>
    <row r="18" customFormat="false" ht="15" hidden="false" customHeight="false" outlineLevel="0" collapsed="false">
      <c r="A18" s="24" t="s">
        <v>68</v>
      </c>
      <c r="B18" s="24" t="s">
        <v>833</v>
      </c>
      <c r="C18" s="24" t="s">
        <v>902</v>
      </c>
      <c r="D18" s="25" t="n">
        <v>0.5</v>
      </c>
      <c r="E18" s="24" t="s">
        <v>903</v>
      </c>
      <c r="F18" s="24"/>
      <c r="G18" s="24" t="s">
        <v>904</v>
      </c>
      <c r="H18" s="25" t="n">
        <v>1.39</v>
      </c>
      <c r="I18" s="24" t="s">
        <v>899</v>
      </c>
      <c r="J18" s="24" t="s">
        <v>829</v>
      </c>
      <c r="K18" s="24" t="s">
        <v>905</v>
      </c>
      <c r="L18" s="24" t="s">
        <v>831</v>
      </c>
      <c r="M18" s="24" t="s">
        <v>906</v>
      </c>
    </row>
    <row r="19" customFormat="false" ht="15" hidden="false" customHeight="false" outlineLevel="0" collapsed="false">
      <c r="A19" s="24" t="s">
        <v>68</v>
      </c>
      <c r="B19" s="24" t="s">
        <v>40</v>
      </c>
      <c r="C19" s="24" t="s">
        <v>907</v>
      </c>
      <c r="D19" s="25" t="n">
        <v>0.5</v>
      </c>
      <c r="E19" s="24" t="s">
        <v>908</v>
      </c>
      <c r="F19" s="24"/>
      <c r="G19" s="24" t="s">
        <v>909</v>
      </c>
      <c r="H19" s="25" t="n">
        <v>1.39</v>
      </c>
      <c r="I19" s="24" t="s">
        <v>899</v>
      </c>
      <c r="J19" s="24" t="s">
        <v>829</v>
      </c>
      <c r="K19" s="24" t="s">
        <v>910</v>
      </c>
      <c r="L19" s="24" t="s">
        <v>831</v>
      </c>
      <c r="M19" s="24" t="s">
        <v>911</v>
      </c>
    </row>
    <row r="20" customFormat="false" ht="15" hidden="false" customHeight="false" outlineLevel="0" collapsed="false">
      <c r="A20" s="24" t="s">
        <v>72</v>
      </c>
      <c r="B20" s="24" t="s">
        <v>823</v>
      </c>
      <c r="C20" s="24" t="s">
        <v>912</v>
      </c>
      <c r="D20" s="25" t="n">
        <v>1.15</v>
      </c>
      <c r="E20" s="24" t="s">
        <v>825</v>
      </c>
      <c r="F20" s="24" t="s">
        <v>826</v>
      </c>
      <c r="G20" s="24" t="s">
        <v>913</v>
      </c>
      <c r="H20" s="25" t="n">
        <v>2.3</v>
      </c>
      <c r="I20" s="24" t="s">
        <v>828</v>
      </c>
      <c r="J20" s="24" t="s">
        <v>829</v>
      </c>
      <c r="K20" s="24" t="s">
        <v>914</v>
      </c>
      <c r="L20" s="24" t="s">
        <v>831</v>
      </c>
      <c r="M20" s="24" t="s">
        <v>915</v>
      </c>
    </row>
    <row r="21" customFormat="false" ht="15" hidden="false" customHeight="false" outlineLevel="0" collapsed="false">
      <c r="A21" s="24" t="s">
        <v>72</v>
      </c>
      <c r="B21" s="24" t="s">
        <v>833</v>
      </c>
      <c r="C21" s="24" t="s">
        <v>916</v>
      </c>
      <c r="D21" s="25" t="n">
        <v>1.15</v>
      </c>
      <c r="E21" s="24" t="s">
        <v>825</v>
      </c>
      <c r="F21" s="24" t="s">
        <v>826</v>
      </c>
      <c r="G21" s="24" t="s">
        <v>913</v>
      </c>
      <c r="H21" s="25" t="n">
        <v>2.3</v>
      </c>
      <c r="I21" s="24" t="s">
        <v>828</v>
      </c>
      <c r="J21" s="24" t="s">
        <v>829</v>
      </c>
      <c r="K21" s="24" t="s">
        <v>917</v>
      </c>
      <c r="L21" s="24" t="s">
        <v>831</v>
      </c>
      <c r="M21" s="24" t="s">
        <v>918</v>
      </c>
    </row>
    <row r="22" customFormat="false" ht="15" hidden="false" customHeight="false" outlineLevel="0" collapsed="false">
      <c r="A22" s="24" t="s">
        <v>72</v>
      </c>
      <c r="B22" s="24" t="s">
        <v>40</v>
      </c>
      <c r="C22" s="24" t="s">
        <v>919</v>
      </c>
      <c r="D22" s="25" t="n">
        <v>1.15</v>
      </c>
      <c r="E22" s="24" t="s">
        <v>920</v>
      </c>
      <c r="F22" s="24" t="s">
        <v>826</v>
      </c>
      <c r="G22" s="24" t="s">
        <v>913</v>
      </c>
      <c r="H22" s="25" t="n">
        <v>2.3</v>
      </c>
      <c r="I22" s="24" t="s">
        <v>828</v>
      </c>
      <c r="J22" s="24" t="s">
        <v>829</v>
      </c>
      <c r="K22" s="24" t="s">
        <v>921</v>
      </c>
      <c r="L22" s="24" t="s">
        <v>831</v>
      </c>
      <c r="M22" s="24" t="s">
        <v>922</v>
      </c>
    </row>
    <row r="23" customFormat="false" ht="15" hidden="false" customHeight="false" outlineLevel="0" collapsed="false">
      <c r="A23" s="24" t="s">
        <v>76</v>
      </c>
      <c r="B23" s="24" t="s">
        <v>823</v>
      </c>
      <c r="C23" s="24" t="s">
        <v>923</v>
      </c>
      <c r="D23" s="25" t="n">
        <v>0.85</v>
      </c>
      <c r="E23" s="24" t="s">
        <v>924</v>
      </c>
      <c r="F23" s="24" t="s">
        <v>925</v>
      </c>
      <c r="G23" s="24" t="s">
        <v>926</v>
      </c>
      <c r="H23" s="25" t="n">
        <v>1.5</v>
      </c>
      <c r="I23" s="24" t="s">
        <v>927</v>
      </c>
      <c r="J23" s="24" t="s">
        <v>928</v>
      </c>
      <c r="K23" s="24" t="s">
        <v>929</v>
      </c>
      <c r="L23" s="24" t="s">
        <v>831</v>
      </c>
      <c r="M23" s="24" t="s">
        <v>930</v>
      </c>
    </row>
    <row r="24" customFormat="false" ht="15" hidden="false" customHeight="false" outlineLevel="0" collapsed="false">
      <c r="A24" s="24" t="s">
        <v>76</v>
      </c>
      <c r="B24" s="24" t="s">
        <v>833</v>
      </c>
      <c r="C24" s="24" t="s">
        <v>931</v>
      </c>
      <c r="D24" s="25" t="n">
        <v>0.85</v>
      </c>
      <c r="E24" s="24" t="s">
        <v>924</v>
      </c>
      <c r="F24" s="24" t="s">
        <v>925</v>
      </c>
      <c r="G24" s="24" t="s">
        <v>932</v>
      </c>
      <c r="H24" s="25" t="n">
        <v>1.5</v>
      </c>
      <c r="I24" s="24" t="s">
        <v>927</v>
      </c>
      <c r="J24" s="24" t="s">
        <v>928</v>
      </c>
      <c r="K24" s="24" t="s">
        <v>933</v>
      </c>
      <c r="L24" s="24" t="s">
        <v>831</v>
      </c>
      <c r="M24" s="24" t="s">
        <v>934</v>
      </c>
    </row>
    <row r="25" customFormat="false" ht="15" hidden="false" customHeight="false" outlineLevel="0" collapsed="false">
      <c r="A25" s="24" t="s">
        <v>76</v>
      </c>
      <c r="B25" s="24" t="s">
        <v>40</v>
      </c>
      <c r="C25" s="24" t="s">
        <v>935</v>
      </c>
      <c r="D25" s="25" t="n">
        <v>0.85</v>
      </c>
      <c r="E25" s="24" t="s">
        <v>924</v>
      </c>
      <c r="F25" s="24" t="s">
        <v>925</v>
      </c>
      <c r="G25" s="24" t="s">
        <v>926</v>
      </c>
      <c r="H25" s="25" t="n">
        <v>1.5</v>
      </c>
      <c r="I25" s="24" t="s">
        <v>927</v>
      </c>
      <c r="J25" s="24" t="s">
        <v>928</v>
      </c>
      <c r="K25" s="24" t="s">
        <v>936</v>
      </c>
      <c r="L25" s="24" t="s">
        <v>831</v>
      </c>
      <c r="M25" s="24" t="s">
        <v>937</v>
      </c>
    </row>
    <row r="26" customFormat="false" ht="15" hidden="false" customHeight="false" outlineLevel="0" collapsed="false">
      <c r="A26" s="24" t="s">
        <v>83</v>
      </c>
      <c r="B26" s="24" t="s">
        <v>823</v>
      </c>
      <c r="C26" s="24" t="s">
        <v>938</v>
      </c>
      <c r="D26" s="25" t="n">
        <v>1.1</v>
      </c>
      <c r="E26" s="24" t="s">
        <v>939</v>
      </c>
      <c r="F26" s="24" t="s">
        <v>940</v>
      </c>
      <c r="G26" s="24" t="s">
        <v>941</v>
      </c>
      <c r="H26" s="25" t="n">
        <v>7.33</v>
      </c>
      <c r="I26" s="24" t="s">
        <v>828</v>
      </c>
      <c r="J26" s="24" t="s">
        <v>829</v>
      </c>
      <c r="K26" s="24" t="s">
        <v>942</v>
      </c>
      <c r="L26" s="24" t="s">
        <v>831</v>
      </c>
      <c r="M26" s="24" t="s">
        <v>943</v>
      </c>
    </row>
    <row r="27" customFormat="false" ht="15" hidden="false" customHeight="false" outlineLevel="0" collapsed="false">
      <c r="A27" s="24" t="s">
        <v>83</v>
      </c>
      <c r="B27" s="24" t="s">
        <v>833</v>
      </c>
      <c r="C27" s="24" t="s">
        <v>944</v>
      </c>
      <c r="D27" s="25" t="n">
        <v>1.2</v>
      </c>
      <c r="E27" s="24" t="s">
        <v>939</v>
      </c>
      <c r="F27" s="24" t="s">
        <v>940</v>
      </c>
      <c r="G27" s="24" t="s">
        <v>945</v>
      </c>
      <c r="H27" s="25" t="n">
        <v>8</v>
      </c>
      <c r="I27" s="24" t="s">
        <v>828</v>
      </c>
      <c r="J27" s="24" t="s">
        <v>829</v>
      </c>
      <c r="K27" s="24" t="s">
        <v>946</v>
      </c>
      <c r="L27" s="24" t="s">
        <v>831</v>
      </c>
      <c r="M27" s="24" t="s">
        <v>947</v>
      </c>
    </row>
    <row r="28" customFormat="false" ht="15" hidden="false" customHeight="false" outlineLevel="0" collapsed="false">
      <c r="A28" s="24" t="s">
        <v>83</v>
      </c>
      <c r="B28" s="24" t="s">
        <v>40</v>
      </c>
      <c r="C28" s="24" t="s">
        <v>948</v>
      </c>
      <c r="D28" s="25" t="n">
        <v>1.1</v>
      </c>
      <c r="E28" s="24" t="s">
        <v>949</v>
      </c>
      <c r="F28" s="24" t="s">
        <v>940</v>
      </c>
      <c r="G28" s="24" t="s">
        <v>941</v>
      </c>
      <c r="H28" s="25" t="n">
        <v>7.33</v>
      </c>
      <c r="I28" s="24" t="s">
        <v>828</v>
      </c>
      <c r="J28" s="24" t="s">
        <v>829</v>
      </c>
      <c r="K28" s="24" t="s">
        <v>950</v>
      </c>
      <c r="L28" s="24" t="s">
        <v>831</v>
      </c>
      <c r="M28" s="24" t="s">
        <v>951</v>
      </c>
    </row>
    <row r="29" customFormat="false" ht="15" hidden="false" customHeight="false" outlineLevel="0" collapsed="false">
      <c r="A29" s="24" t="s">
        <v>87</v>
      </c>
      <c r="B29" s="24" t="s">
        <v>823</v>
      </c>
      <c r="C29" s="24" t="s">
        <v>952</v>
      </c>
      <c r="D29" s="25" t="n">
        <v>0.75</v>
      </c>
      <c r="E29" s="24" t="s">
        <v>953</v>
      </c>
      <c r="F29" s="24" t="s">
        <v>954</v>
      </c>
      <c r="G29" s="24" t="s">
        <v>955</v>
      </c>
      <c r="H29" s="25" t="n">
        <v>2.5</v>
      </c>
      <c r="I29" s="24" t="s">
        <v>828</v>
      </c>
      <c r="J29" s="24" t="s">
        <v>829</v>
      </c>
      <c r="K29" s="24" t="s">
        <v>956</v>
      </c>
      <c r="L29" s="24" t="s">
        <v>831</v>
      </c>
      <c r="M29" s="24" t="s">
        <v>957</v>
      </c>
    </row>
    <row r="30" customFormat="false" ht="15" hidden="false" customHeight="false" outlineLevel="0" collapsed="false">
      <c r="A30" s="24" t="s">
        <v>87</v>
      </c>
      <c r="B30" s="24" t="s">
        <v>833</v>
      </c>
      <c r="C30" s="24" t="s">
        <v>958</v>
      </c>
      <c r="D30" s="25" t="n">
        <v>1.05</v>
      </c>
      <c r="E30" s="24" t="s">
        <v>953</v>
      </c>
      <c r="F30" s="24" t="s">
        <v>954</v>
      </c>
      <c r="G30" s="24" t="s">
        <v>959</v>
      </c>
      <c r="H30" s="25" t="n">
        <v>3.5</v>
      </c>
      <c r="I30" s="24" t="s">
        <v>828</v>
      </c>
      <c r="J30" s="24" t="s">
        <v>829</v>
      </c>
      <c r="K30" s="24" t="s">
        <v>960</v>
      </c>
      <c r="L30" s="24" t="s">
        <v>831</v>
      </c>
      <c r="M30" s="24"/>
    </row>
    <row r="31" customFormat="false" ht="15" hidden="false" customHeight="false" outlineLevel="0" collapsed="false">
      <c r="A31" s="24" t="s">
        <v>87</v>
      </c>
      <c r="B31" s="24" t="s">
        <v>40</v>
      </c>
      <c r="C31" s="24" t="s">
        <v>961</v>
      </c>
      <c r="D31" s="25" t="n">
        <v>0.75</v>
      </c>
      <c r="E31" s="24" t="s">
        <v>953</v>
      </c>
      <c r="F31" s="24" t="s">
        <v>954</v>
      </c>
      <c r="G31" s="24" t="s">
        <v>955</v>
      </c>
      <c r="H31" s="25" t="n">
        <v>2.5</v>
      </c>
      <c r="I31" s="24" t="s">
        <v>828</v>
      </c>
      <c r="J31" s="24" t="s">
        <v>829</v>
      </c>
      <c r="K31" s="24" t="s">
        <v>962</v>
      </c>
      <c r="L31" s="24" t="s">
        <v>831</v>
      </c>
      <c r="M31" s="24" t="s">
        <v>963</v>
      </c>
    </row>
    <row r="32" customFormat="false" ht="15" hidden="false" customHeight="false" outlineLevel="0" collapsed="false">
      <c r="A32" s="24" t="s">
        <v>91</v>
      </c>
      <c r="B32" s="24" t="s">
        <v>823</v>
      </c>
      <c r="C32" s="24" t="s">
        <v>964</v>
      </c>
      <c r="D32" s="25" t="n">
        <v>1.3</v>
      </c>
      <c r="E32" s="24" t="s">
        <v>965</v>
      </c>
      <c r="F32" s="24" t="s">
        <v>966</v>
      </c>
      <c r="G32" s="24" t="s">
        <v>967</v>
      </c>
      <c r="H32" s="25" t="n">
        <v>10.4</v>
      </c>
      <c r="I32" s="24" t="s">
        <v>828</v>
      </c>
      <c r="J32" s="24" t="s">
        <v>829</v>
      </c>
      <c r="K32" s="24" t="s">
        <v>968</v>
      </c>
      <c r="L32" s="24" t="s">
        <v>831</v>
      </c>
      <c r="M32" s="24"/>
    </row>
    <row r="33" customFormat="false" ht="15" hidden="false" customHeight="false" outlineLevel="0" collapsed="false">
      <c r="A33" s="24" t="s">
        <v>91</v>
      </c>
      <c r="B33" s="24" t="s">
        <v>833</v>
      </c>
      <c r="C33" s="24" t="s">
        <v>969</v>
      </c>
      <c r="D33" s="25" t="n">
        <v>0.55</v>
      </c>
      <c r="E33" s="24" t="s">
        <v>970</v>
      </c>
      <c r="F33" s="24" t="s">
        <v>966</v>
      </c>
      <c r="G33" s="24" t="s">
        <v>971</v>
      </c>
      <c r="H33" s="25" t="n">
        <v>4.4</v>
      </c>
      <c r="I33" s="24" t="s">
        <v>828</v>
      </c>
      <c r="J33" s="24" t="s">
        <v>829</v>
      </c>
      <c r="K33" s="24" t="s">
        <v>972</v>
      </c>
      <c r="L33" s="24" t="s">
        <v>831</v>
      </c>
      <c r="M33" s="24" t="s">
        <v>973</v>
      </c>
    </row>
    <row r="34" customFormat="false" ht="15" hidden="false" customHeight="false" outlineLevel="0" collapsed="false">
      <c r="A34" s="24" t="s">
        <v>91</v>
      </c>
      <c r="B34" s="24" t="s">
        <v>40</v>
      </c>
      <c r="C34" s="24" t="s">
        <v>974</v>
      </c>
      <c r="D34" s="25" t="n">
        <v>1.3</v>
      </c>
      <c r="E34" s="24" t="s">
        <v>975</v>
      </c>
      <c r="F34" s="24" t="s">
        <v>966</v>
      </c>
      <c r="G34" s="24" t="s">
        <v>976</v>
      </c>
      <c r="H34" s="25" t="n">
        <v>10.4</v>
      </c>
      <c r="I34" s="24" t="s">
        <v>828</v>
      </c>
      <c r="J34" s="24" t="s">
        <v>829</v>
      </c>
      <c r="K34" s="24" t="s">
        <v>977</v>
      </c>
      <c r="L34" s="24" t="s">
        <v>831</v>
      </c>
      <c r="M34" s="24" t="s">
        <v>978</v>
      </c>
    </row>
    <row r="35" customFormat="false" ht="15" hidden="false" customHeight="false" outlineLevel="0" collapsed="false">
      <c r="A35" s="24" t="s">
        <v>95</v>
      </c>
      <c r="B35" s="24" t="s">
        <v>823</v>
      </c>
      <c r="C35" s="24" t="s">
        <v>979</v>
      </c>
      <c r="D35" s="25" t="n">
        <v>1.15</v>
      </c>
      <c r="E35" s="24" t="s">
        <v>825</v>
      </c>
      <c r="F35" s="24" t="s">
        <v>826</v>
      </c>
      <c r="G35" s="24" t="s">
        <v>913</v>
      </c>
      <c r="H35" s="25" t="n">
        <v>2.3</v>
      </c>
      <c r="I35" s="24" t="s">
        <v>828</v>
      </c>
      <c r="J35" s="24" t="s">
        <v>829</v>
      </c>
      <c r="K35" s="24" t="s">
        <v>980</v>
      </c>
      <c r="L35" s="24" t="s">
        <v>831</v>
      </c>
      <c r="M35" s="24"/>
    </row>
    <row r="36" customFormat="false" ht="15" hidden="false" customHeight="false" outlineLevel="0" collapsed="false">
      <c r="A36" s="24" t="s">
        <v>95</v>
      </c>
      <c r="B36" s="24" t="s">
        <v>833</v>
      </c>
      <c r="C36" s="24" t="s">
        <v>981</v>
      </c>
      <c r="D36" s="25" t="n">
        <v>0.55</v>
      </c>
      <c r="E36" s="24" t="s">
        <v>825</v>
      </c>
      <c r="F36" s="24" t="s">
        <v>826</v>
      </c>
      <c r="G36" s="24" t="s">
        <v>982</v>
      </c>
      <c r="H36" s="25" t="n">
        <v>1.1</v>
      </c>
      <c r="I36" s="24" t="s">
        <v>828</v>
      </c>
      <c r="J36" s="24" t="s">
        <v>829</v>
      </c>
      <c r="K36" s="24" t="s">
        <v>983</v>
      </c>
      <c r="L36" s="24" t="s">
        <v>831</v>
      </c>
      <c r="M36" s="24" t="s">
        <v>984</v>
      </c>
    </row>
    <row r="37" customFormat="false" ht="15" hidden="false" customHeight="false" outlineLevel="0" collapsed="false">
      <c r="A37" s="24" t="s">
        <v>95</v>
      </c>
      <c r="B37" s="24" t="s">
        <v>40</v>
      </c>
      <c r="C37" s="24" t="s">
        <v>985</v>
      </c>
      <c r="D37" s="25" t="n">
        <v>1.15</v>
      </c>
      <c r="E37" s="24" t="s">
        <v>920</v>
      </c>
      <c r="F37" s="24" t="s">
        <v>826</v>
      </c>
      <c r="G37" s="24" t="s">
        <v>913</v>
      </c>
      <c r="H37" s="25" t="n">
        <v>2.3</v>
      </c>
      <c r="I37" s="24" t="s">
        <v>828</v>
      </c>
      <c r="J37" s="24" t="s">
        <v>829</v>
      </c>
      <c r="K37" s="24" t="s">
        <v>986</v>
      </c>
      <c r="L37" s="24" t="s">
        <v>831</v>
      </c>
      <c r="M37" s="24" t="s">
        <v>987</v>
      </c>
    </row>
    <row r="38" customFormat="false" ht="15" hidden="false" customHeight="false" outlineLevel="0" collapsed="false">
      <c r="A38" s="24" t="s">
        <v>99</v>
      </c>
      <c r="B38" s="24" t="s">
        <v>823</v>
      </c>
      <c r="C38" s="24" t="s">
        <v>988</v>
      </c>
      <c r="D38" s="25" t="n">
        <v>1.8</v>
      </c>
      <c r="E38" s="24" t="s">
        <v>989</v>
      </c>
      <c r="F38" s="24" t="s">
        <v>990</v>
      </c>
      <c r="G38" s="24" t="s">
        <v>991</v>
      </c>
      <c r="H38" s="25" t="n">
        <v>9</v>
      </c>
      <c r="I38" s="24" t="s">
        <v>828</v>
      </c>
      <c r="J38" s="24" t="s">
        <v>829</v>
      </c>
      <c r="K38" s="24" t="s">
        <v>992</v>
      </c>
      <c r="L38" s="24" t="s">
        <v>831</v>
      </c>
      <c r="M38" s="24"/>
    </row>
    <row r="39" customFormat="false" ht="15" hidden="false" customHeight="false" outlineLevel="0" collapsed="false">
      <c r="A39" s="24" t="s">
        <v>99</v>
      </c>
      <c r="B39" s="24" t="s">
        <v>833</v>
      </c>
      <c r="C39" s="24"/>
      <c r="D39" s="25"/>
      <c r="E39" s="24"/>
      <c r="F39" s="24"/>
      <c r="G39" s="24"/>
      <c r="H39" s="25"/>
      <c r="I39" s="24" t="s">
        <v>993</v>
      </c>
      <c r="J39" s="24" t="s">
        <v>928</v>
      </c>
      <c r="K39" s="24" t="s">
        <v>994</v>
      </c>
      <c r="L39" s="24" t="s">
        <v>831</v>
      </c>
      <c r="M39" s="24" t="s">
        <v>995</v>
      </c>
    </row>
    <row r="40" customFormat="false" ht="15" hidden="false" customHeight="false" outlineLevel="0" collapsed="false">
      <c r="A40" s="24" t="s">
        <v>99</v>
      </c>
      <c r="B40" s="24" t="s">
        <v>40</v>
      </c>
      <c r="C40" s="24" t="s">
        <v>996</v>
      </c>
      <c r="D40" s="25" t="n">
        <v>1.8</v>
      </c>
      <c r="E40" s="24" t="s">
        <v>997</v>
      </c>
      <c r="F40" s="24" t="s">
        <v>990</v>
      </c>
      <c r="G40" s="24" t="s">
        <v>991</v>
      </c>
      <c r="H40" s="25" t="n">
        <v>9</v>
      </c>
      <c r="I40" s="24" t="s">
        <v>828</v>
      </c>
      <c r="J40" s="24" t="s">
        <v>829</v>
      </c>
      <c r="K40" s="24" t="s">
        <v>998</v>
      </c>
      <c r="L40" s="24" t="s">
        <v>831</v>
      </c>
      <c r="M40" s="24"/>
    </row>
    <row r="41" customFormat="false" ht="15" hidden="false" customHeight="false" outlineLevel="0" collapsed="false">
      <c r="A41" s="24" t="s">
        <v>105</v>
      </c>
      <c r="B41" s="24" t="s">
        <v>823</v>
      </c>
      <c r="C41" s="24" t="s">
        <v>999</v>
      </c>
      <c r="D41" s="25" t="n">
        <v>1.3</v>
      </c>
      <c r="E41" s="24" t="s">
        <v>1000</v>
      </c>
      <c r="F41" s="24" t="s">
        <v>836</v>
      </c>
      <c r="G41" s="24" t="s">
        <v>1001</v>
      </c>
      <c r="H41" s="25" t="n">
        <v>1.3</v>
      </c>
      <c r="I41" s="24" t="s">
        <v>828</v>
      </c>
      <c r="J41" s="24" t="s">
        <v>829</v>
      </c>
      <c r="K41" s="24" t="s">
        <v>1002</v>
      </c>
      <c r="L41" s="24" t="s">
        <v>831</v>
      </c>
      <c r="M41" s="24"/>
    </row>
    <row r="42" customFormat="false" ht="15" hidden="false" customHeight="false" outlineLevel="0" collapsed="false">
      <c r="A42" s="24" t="s">
        <v>105</v>
      </c>
      <c r="B42" s="24" t="s">
        <v>833</v>
      </c>
      <c r="C42" s="24" t="s">
        <v>1003</v>
      </c>
      <c r="D42" s="25" t="n">
        <v>1.3</v>
      </c>
      <c r="E42" s="24" t="s">
        <v>1000</v>
      </c>
      <c r="F42" s="24" t="s">
        <v>836</v>
      </c>
      <c r="G42" s="24" t="s">
        <v>1004</v>
      </c>
      <c r="H42" s="25" t="n">
        <v>1.3</v>
      </c>
      <c r="I42" s="24" t="s">
        <v>828</v>
      </c>
      <c r="J42" s="24" t="s">
        <v>829</v>
      </c>
      <c r="K42" s="24" t="s">
        <v>1005</v>
      </c>
      <c r="L42" s="24" t="s">
        <v>831</v>
      </c>
      <c r="M42" s="24" t="s">
        <v>1006</v>
      </c>
    </row>
    <row r="43" customFormat="false" ht="15" hidden="false" customHeight="false" outlineLevel="0" collapsed="false">
      <c r="A43" s="24" t="s">
        <v>105</v>
      </c>
      <c r="B43" s="24" t="s">
        <v>40</v>
      </c>
      <c r="C43" s="24" t="s">
        <v>1007</v>
      </c>
      <c r="D43" s="25" t="n">
        <v>1.15</v>
      </c>
      <c r="E43" s="24" t="s">
        <v>1008</v>
      </c>
      <c r="F43" s="24" t="s">
        <v>836</v>
      </c>
      <c r="G43" s="24" t="s">
        <v>1009</v>
      </c>
      <c r="H43" s="25" t="n">
        <v>1.15</v>
      </c>
      <c r="I43" s="24" t="s">
        <v>828</v>
      </c>
      <c r="J43" s="24" t="s">
        <v>829</v>
      </c>
      <c r="K43" s="24" t="s">
        <v>1010</v>
      </c>
      <c r="L43" s="24" t="s">
        <v>831</v>
      </c>
      <c r="M43" s="24" t="s">
        <v>1011</v>
      </c>
    </row>
    <row r="44" customFormat="false" ht="15" hidden="false" customHeight="false" outlineLevel="0" collapsed="false">
      <c r="A44" s="24" t="s">
        <v>109</v>
      </c>
      <c r="B44" s="24" t="s">
        <v>823</v>
      </c>
      <c r="C44" s="24" t="s">
        <v>1012</v>
      </c>
      <c r="D44" s="25" t="n">
        <v>2.15</v>
      </c>
      <c r="E44" s="24" t="s">
        <v>989</v>
      </c>
      <c r="F44" s="24" t="s">
        <v>990</v>
      </c>
      <c r="G44" s="24" t="s">
        <v>1013</v>
      </c>
      <c r="H44" s="25" t="n">
        <v>10.75</v>
      </c>
      <c r="I44" s="24" t="s">
        <v>828</v>
      </c>
      <c r="J44" s="24" t="s">
        <v>829</v>
      </c>
      <c r="K44" s="24" t="s">
        <v>1014</v>
      </c>
      <c r="L44" s="24" t="s">
        <v>831</v>
      </c>
      <c r="M44" s="24"/>
    </row>
    <row r="45" customFormat="false" ht="15" hidden="false" customHeight="false" outlineLevel="0" collapsed="false">
      <c r="A45" s="24" t="s">
        <v>109</v>
      </c>
      <c r="B45" s="24" t="s">
        <v>833</v>
      </c>
      <c r="C45" s="24" t="s">
        <v>1015</v>
      </c>
      <c r="D45" s="25" t="n">
        <v>2.35</v>
      </c>
      <c r="E45" s="24" t="s">
        <v>989</v>
      </c>
      <c r="F45" s="24" t="s">
        <v>990</v>
      </c>
      <c r="G45" s="24" t="s">
        <v>1016</v>
      </c>
      <c r="H45" s="25" t="n">
        <v>11.75</v>
      </c>
      <c r="I45" s="24" t="s">
        <v>828</v>
      </c>
      <c r="J45" s="24" t="s">
        <v>829</v>
      </c>
      <c r="K45" s="24" t="s">
        <v>1017</v>
      </c>
      <c r="L45" s="24" t="s">
        <v>831</v>
      </c>
      <c r="M45" s="24"/>
    </row>
    <row r="46" customFormat="false" ht="15" hidden="false" customHeight="false" outlineLevel="0" collapsed="false">
      <c r="A46" s="24" t="s">
        <v>109</v>
      </c>
      <c r="B46" s="24" t="s">
        <v>40</v>
      </c>
      <c r="C46" s="24" t="s">
        <v>1018</v>
      </c>
      <c r="D46" s="25" t="n">
        <v>2.25</v>
      </c>
      <c r="E46" s="24" t="s">
        <v>1019</v>
      </c>
      <c r="F46" s="24" t="s">
        <v>990</v>
      </c>
      <c r="G46" s="24" t="s">
        <v>1020</v>
      </c>
      <c r="H46" s="25" t="n">
        <v>11.25</v>
      </c>
      <c r="I46" s="24" t="s">
        <v>828</v>
      </c>
      <c r="J46" s="24" t="s">
        <v>829</v>
      </c>
      <c r="K46" s="24" t="s">
        <v>1021</v>
      </c>
      <c r="L46" s="24" t="s">
        <v>831</v>
      </c>
      <c r="M46" s="24"/>
    </row>
    <row r="47" customFormat="false" ht="15" hidden="false" customHeight="false" outlineLevel="0" collapsed="false">
      <c r="A47" s="24" t="s">
        <v>113</v>
      </c>
      <c r="B47" s="24" t="s">
        <v>823</v>
      </c>
      <c r="C47" s="24" t="s">
        <v>1022</v>
      </c>
      <c r="D47" s="25" t="n">
        <v>4.45</v>
      </c>
      <c r="E47" s="24" t="s">
        <v>1023</v>
      </c>
      <c r="F47" s="24" t="s">
        <v>1024</v>
      </c>
      <c r="G47" s="24" t="s">
        <v>1025</v>
      </c>
      <c r="H47" s="25" t="n">
        <v>17.8</v>
      </c>
      <c r="I47" s="24" t="s">
        <v>828</v>
      </c>
      <c r="J47" s="24" t="s">
        <v>829</v>
      </c>
      <c r="K47" s="24" t="s">
        <v>1026</v>
      </c>
      <c r="L47" s="24" t="s">
        <v>831</v>
      </c>
      <c r="M47" s="24" t="s">
        <v>1027</v>
      </c>
    </row>
    <row r="48" customFormat="false" ht="15" hidden="false" customHeight="false" outlineLevel="0" collapsed="false">
      <c r="A48" s="24" t="s">
        <v>113</v>
      </c>
      <c r="B48" s="24" t="s">
        <v>833</v>
      </c>
      <c r="C48" s="24" t="s">
        <v>1028</v>
      </c>
      <c r="D48" s="25" t="n">
        <v>3.5</v>
      </c>
      <c r="E48" s="24" t="s">
        <v>1023</v>
      </c>
      <c r="F48" s="24" t="s">
        <v>1024</v>
      </c>
      <c r="G48" s="24" t="s">
        <v>1029</v>
      </c>
      <c r="H48" s="25" t="n">
        <v>14</v>
      </c>
      <c r="I48" s="24" t="s">
        <v>828</v>
      </c>
      <c r="J48" s="24" t="s">
        <v>829</v>
      </c>
      <c r="K48" s="24" t="s">
        <v>1030</v>
      </c>
      <c r="L48" s="24" t="s">
        <v>831</v>
      </c>
      <c r="M48" s="24"/>
    </row>
    <row r="49" customFormat="false" ht="15" hidden="false" customHeight="false" outlineLevel="0" collapsed="false">
      <c r="A49" s="24" t="s">
        <v>113</v>
      </c>
      <c r="B49" s="24" t="s">
        <v>40</v>
      </c>
      <c r="C49" s="24" t="s">
        <v>1031</v>
      </c>
      <c r="D49" s="25" t="n">
        <v>2.99</v>
      </c>
      <c r="E49" s="24" t="s">
        <v>1032</v>
      </c>
      <c r="F49" s="24" t="s">
        <v>1024</v>
      </c>
      <c r="G49" s="24" t="s">
        <v>1033</v>
      </c>
      <c r="H49" s="25" t="n">
        <v>11.96</v>
      </c>
      <c r="I49" s="24" t="s">
        <v>828</v>
      </c>
      <c r="J49" s="24" t="s">
        <v>829</v>
      </c>
      <c r="K49" s="24" t="s">
        <v>1034</v>
      </c>
      <c r="L49" s="24" t="s">
        <v>831</v>
      </c>
      <c r="M49" s="24" t="s">
        <v>963</v>
      </c>
    </row>
    <row r="50" customFormat="false" ht="15" hidden="false" customHeight="false" outlineLevel="0" collapsed="false">
      <c r="A50" s="24" t="s">
        <v>117</v>
      </c>
      <c r="B50" s="24" t="s">
        <v>823</v>
      </c>
      <c r="C50" s="24" t="s">
        <v>1035</v>
      </c>
      <c r="D50" s="25" t="n">
        <v>1.15</v>
      </c>
      <c r="E50" s="24" t="s">
        <v>825</v>
      </c>
      <c r="F50" s="24" t="s">
        <v>826</v>
      </c>
      <c r="G50" s="24" t="s">
        <v>913</v>
      </c>
      <c r="H50" s="25" t="n">
        <v>2.3</v>
      </c>
      <c r="I50" s="24" t="s">
        <v>828</v>
      </c>
      <c r="J50" s="24" t="s">
        <v>829</v>
      </c>
      <c r="K50" s="24" t="s">
        <v>1036</v>
      </c>
      <c r="L50" s="24" t="s">
        <v>831</v>
      </c>
      <c r="M50" s="24" t="s">
        <v>1037</v>
      </c>
    </row>
    <row r="51" customFormat="false" ht="15" hidden="false" customHeight="false" outlineLevel="0" collapsed="false">
      <c r="A51" s="24" t="s">
        <v>117</v>
      </c>
      <c r="B51" s="24" t="s">
        <v>833</v>
      </c>
      <c r="C51" s="24" t="s">
        <v>1038</v>
      </c>
      <c r="D51" s="25" t="n">
        <v>1.15</v>
      </c>
      <c r="E51" s="24" t="s">
        <v>825</v>
      </c>
      <c r="F51" s="24" t="s">
        <v>826</v>
      </c>
      <c r="G51" s="24" t="s">
        <v>913</v>
      </c>
      <c r="H51" s="25" t="n">
        <v>2.3</v>
      </c>
      <c r="I51" s="24" t="s">
        <v>828</v>
      </c>
      <c r="J51" s="24" t="s">
        <v>829</v>
      </c>
      <c r="K51" s="24" t="s">
        <v>917</v>
      </c>
      <c r="L51" s="24" t="s">
        <v>831</v>
      </c>
      <c r="M51" s="24" t="s">
        <v>1039</v>
      </c>
    </row>
    <row r="52" customFormat="false" ht="15" hidden="false" customHeight="false" outlineLevel="0" collapsed="false">
      <c r="A52" s="24" t="s">
        <v>117</v>
      </c>
      <c r="B52" s="24" t="s">
        <v>40</v>
      </c>
      <c r="C52" s="24" t="s">
        <v>1040</v>
      </c>
      <c r="D52" s="25" t="n">
        <v>1.15</v>
      </c>
      <c r="E52" s="24" t="s">
        <v>920</v>
      </c>
      <c r="F52" s="24" t="s">
        <v>826</v>
      </c>
      <c r="G52" s="24" t="s">
        <v>913</v>
      </c>
      <c r="H52" s="25" t="n">
        <v>2.3</v>
      </c>
      <c r="I52" s="24" t="s">
        <v>828</v>
      </c>
      <c r="J52" s="24" t="s">
        <v>829</v>
      </c>
      <c r="K52" s="24" t="s">
        <v>921</v>
      </c>
      <c r="L52" s="24" t="s">
        <v>831</v>
      </c>
      <c r="M52" s="24" t="s">
        <v>1041</v>
      </c>
    </row>
    <row r="53" customFormat="false" ht="15" hidden="false" customHeight="false" outlineLevel="0" collapsed="false">
      <c r="A53" s="24" t="s">
        <v>120</v>
      </c>
      <c r="B53" s="24" t="s">
        <v>823</v>
      </c>
      <c r="C53" s="24" t="s">
        <v>1042</v>
      </c>
      <c r="D53" s="25" t="n">
        <v>2.5</v>
      </c>
      <c r="E53" s="24" t="s">
        <v>835</v>
      </c>
      <c r="F53" s="24" t="s">
        <v>836</v>
      </c>
      <c r="G53" s="24" t="s">
        <v>1043</v>
      </c>
      <c r="H53" s="25" t="n">
        <v>2.5</v>
      </c>
      <c r="I53" s="24" t="s">
        <v>828</v>
      </c>
      <c r="J53" s="24" t="s">
        <v>829</v>
      </c>
      <c r="K53" s="24" t="s">
        <v>1044</v>
      </c>
      <c r="L53" s="24" t="s">
        <v>831</v>
      </c>
      <c r="M53" s="24" t="s">
        <v>1045</v>
      </c>
    </row>
    <row r="54" customFormat="false" ht="15" hidden="false" customHeight="false" outlineLevel="0" collapsed="false">
      <c r="A54" s="24" t="s">
        <v>120</v>
      </c>
      <c r="B54" s="24" t="s">
        <v>833</v>
      </c>
      <c r="C54" s="24" t="s">
        <v>1046</v>
      </c>
      <c r="D54" s="25" t="n">
        <v>2.3</v>
      </c>
      <c r="E54" s="24" t="s">
        <v>825</v>
      </c>
      <c r="F54" s="24" t="s">
        <v>826</v>
      </c>
      <c r="G54" s="24" t="s">
        <v>1047</v>
      </c>
      <c r="H54" s="25" t="n">
        <v>4.6</v>
      </c>
      <c r="I54" s="24" t="s">
        <v>828</v>
      </c>
      <c r="J54" s="24" t="s">
        <v>829</v>
      </c>
      <c r="K54" s="24" t="s">
        <v>1048</v>
      </c>
      <c r="L54" s="24" t="s">
        <v>831</v>
      </c>
      <c r="M54" s="24" t="s">
        <v>1049</v>
      </c>
    </row>
    <row r="55" customFormat="false" ht="15" hidden="false" customHeight="false" outlineLevel="0" collapsed="false">
      <c r="A55" s="24" t="s">
        <v>120</v>
      </c>
      <c r="B55" s="24" t="s">
        <v>40</v>
      </c>
      <c r="C55" s="24" t="s">
        <v>1050</v>
      </c>
      <c r="D55" s="25" t="n">
        <v>3.85</v>
      </c>
      <c r="E55" s="24" t="s">
        <v>1051</v>
      </c>
      <c r="F55" s="24" t="s">
        <v>1052</v>
      </c>
      <c r="G55" s="24" t="s">
        <v>1053</v>
      </c>
      <c r="H55" s="25" t="n">
        <v>1.93</v>
      </c>
      <c r="I55" s="24" t="s">
        <v>828</v>
      </c>
      <c r="J55" s="24" t="s">
        <v>829</v>
      </c>
      <c r="K55" s="24" t="s">
        <v>1054</v>
      </c>
      <c r="L55" s="24" t="s">
        <v>831</v>
      </c>
      <c r="M55" s="24" t="s">
        <v>1055</v>
      </c>
    </row>
    <row r="56" customFormat="false" ht="15" hidden="false" customHeight="false" outlineLevel="0" collapsed="false">
      <c r="A56" s="24" t="s">
        <v>124</v>
      </c>
      <c r="B56" s="24" t="s">
        <v>823</v>
      </c>
      <c r="C56" s="24" t="s">
        <v>1056</v>
      </c>
      <c r="D56" s="25" t="n">
        <v>2.05</v>
      </c>
      <c r="E56" s="24" t="s">
        <v>825</v>
      </c>
      <c r="F56" s="24" t="s">
        <v>826</v>
      </c>
      <c r="G56" s="24" t="s">
        <v>1057</v>
      </c>
      <c r="H56" s="25" t="n">
        <v>4.1</v>
      </c>
      <c r="I56" s="24" t="s">
        <v>828</v>
      </c>
      <c r="J56" s="24" t="s">
        <v>829</v>
      </c>
      <c r="K56" s="24" t="s">
        <v>1058</v>
      </c>
      <c r="L56" s="24" t="s">
        <v>831</v>
      </c>
      <c r="M56" s="24"/>
    </row>
    <row r="57" customFormat="false" ht="15" hidden="false" customHeight="false" outlineLevel="0" collapsed="false">
      <c r="A57" s="24" t="s">
        <v>124</v>
      </c>
      <c r="B57" s="24" t="s">
        <v>833</v>
      </c>
      <c r="C57" s="24" t="s">
        <v>1059</v>
      </c>
      <c r="D57" s="25" t="n">
        <v>2.1</v>
      </c>
      <c r="E57" s="24" t="s">
        <v>825</v>
      </c>
      <c r="F57" s="24" t="s">
        <v>826</v>
      </c>
      <c r="G57" s="24" t="s">
        <v>1060</v>
      </c>
      <c r="H57" s="25" t="n">
        <v>4.2</v>
      </c>
      <c r="I57" s="24" t="s">
        <v>828</v>
      </c>
      <c r="J57" s="24" t="s">
        <v>829</v>
      </c>
      <c r="K57" s="24" t="s">
        <v>1061</v>
      </c>
      <c r="L57" s="24" t="s">
        <v>831</v>
      </c>
      <c r="M57" s="24" t="s">
        <v>1062</v>
      </c>
    </row>
    <row r="58" customFormat="false" ht="15" hidden="false" customHeight="false" outlineLevel="0" collapsed="false">
      <c r="A58" s="24" t="s">
        <v>124</v>
      </c>
      <c r="B58" s="24" t="s">
        <v>40</v>
      </c>
      <c r="C58" s="24" t="s">
        <v>1063</v>
      </c>
      <c r="D58" s="25" t="n">
        <v>2.1</v>
      </c>
      <c r="E58" s="24" t="s">
        <v>920</v>
      </c>
      <c r="F58" s="24" t="s">
        <v>826</v>
      </c>
      <c r="G58" s="24" t="s">
        <v>1060</v>
      </c>
      <c r="H58" s="25" t="n">
        <v>4.2</v>
      </c>
      <c r="I58" s="24" t="s">
        <v>828</v>
      </c>
      <c r="J58" s="24" t="s">
        <v>829</v>
      </c>
      <c r="K58" s="24" t="s">
        <v>1064</v>
      </c>
      <c r="L58" s="24" t="s">
        <v>831</v>
      </c>
      <c r="M58" s="24" t="s">
        <v>1065</v>
      </c>
    </row>
    <row r="59" customFormat="false" ht="15" hidden="false" customHeight="false" outlineLevel="0" collapsed="false">
      <c r="A59" s="24" t="s">
        <v>128</v>
      </c>
      <c r="B59" s="24" t="s">
        <v>823</v>
      </c>
      <c r="C59" s="24" t="s">
        <v>1066</v>
      </c>
      <c r="D59" s="25" t="n">
        <v>0.95</v>
      </c>
      <c r="E59" s="24" t="s">
        <v>1067</v>
      </c>
      <c r="F59" s="24"/>
      <c r="G59" s="24" t="s">
        <v>1068</v>
      </c>
      <c r="H59" s="25" t="n">
        <v>1.73</v>
      </c>
      <c r="I59" s="24" t="s">
        <v>1069</v>
      </c>
      <c r="J59" s="24" t="s">
        <v>829</v>
      </c>
      <c r="K59" s="24" t="s">
        <v>1070</v>
      </c>
      <c r="L59" s="24" t="s">
        <v>831</v>
      </c>
      <c r="M59" s="24" t="s">
        <v>1071</v>
      </c>
    </row>
    <row r="60" customFormat="false" ht="15" hidden="false" customHeight="false" outlineLevel="0" collapsed="false">
      <c r="A60" s="24" t="s">
        <v>128</v>
      </c>
      <c r="B60" s="24" t="s">
        <v>833</v>
      </c>
      <c r="C60" s="24" t="s">
        <v>1072</v>
      </c>
      <c r="D60" s="25" t="n">
        <v>0.95</v>
      </c>
      <c r="E60" s="24" t="s">
        <v>1073</v>
      </c>
      <c r="F60" s="24"/>
      <c r="G60" s="24" t="s">
        <v>1074</v>
      </c>
      <c r="H60" s="25" t="n">
        <v>1.73</v>
      </c>
      <c r="I60" s="24" t="s">
        <v>1069</v>
      </c>
      <c r="J60" s="24" t="s">
        <v>829</v>
      </c>
      <c r="K60" s="24" t="s">
        <v>1075</v>
      </c>
      <c r="L60" s="24" t="s">
        <v>831</v>
      </c>
      <c r="M60" s="24" t="s">
        <v>1076</v>
      </c>
    </row>
    <row r="61" customFormat="false" ht="15" hidden="false" customHeight="false" outlineLevel="0" collapsed="false">
      <c r="A61" s="24" t="s">
        <v>128</v>
      </c>
      <c r="B61" s="24" t="s">
        <v>40</v>
      </c>
      <c r="C61" s="24" t="s">
        <v>1077</v>
      </c>
      <c r="D61" s="25" t="n">
        <v>2.7</v>
      </c>
      <c r="E61" s="24" t="s">
        <v>1073</v>
      </c>
      <c r="F61" s="24"/>
      <c r="G61" s="24"/>
      <c r="H61" s="25"/>
      <c r="I61" s="24" t="s">
        <v>1078</v>
      </c>
      <c r="J61" s="24" t="s">
        <v>928</v>
      </c>
      <c r="K61" s="24" t="s">
        <v>1079</v>
      </c>
      <c r="L61" s="24" t="s">
        <v>831</v>
      </c>
      <c r="M61" s="24" t="s">
        <v>1080</v>
      </c>
    </row>
    <row r="62" customFormat="false" ht="15" hidden="false" customHeight="false" outlineLevel="0" collapsed="false">
      <c r="A62" s="24" t="s">
        <v>133</v>
      </c>
      <c r="B62" s="24" t="s">
        <v>823</v>
      </c>
      <c r="C62" s="24" t="s">
        <v>1081</v>
      </c>
      <c r="D62" s="25" t="n">
        <v>2.3</v>
      </c>
      <c r="E62" s="24" t="s">
        <v>1082</v>
      </c>
      <c r="F62" s="24"/>
      <c r="G62" s="24" t="s">
        <v>1083</v>
      </c>
      <c r="H62" s="25"/>
      <c r="I62" s="24" t="s">
        <v>1084</v>
      </c>
      <c r="J62" s="24" t="s">
        <v>928</v>
      </c>
      <c r="K62" s="24" t="s">
        <v>1085</v>
      </c>
      <c r="L62" s="24" t="s">
        <v>831</v>
      </c>
      <c r="M62" s="24" t="s">
        <v>1086</v>
      </c>
    </row>
    <row r="63" customFormat="false" ht="15" hidden="false" customHeight="false" outlineLevel="0" collapsed="false">
      <c r="A63" s="24" t="s">
        <v>133</v>
      </c>
      <c r="B63" s="24" t="s">
        <v>833</v>
      </c>
      <c r="C63" s="24" t="s">
        <v>1087</v>
      </c>
      <c r="D63" s="25" t="n">
        <v>2.3</v>
      </c>
      <c r="E63" s="24" t="s">
        <v>825</v>
      </c>
      <c r="F63" s="24" t="s">
        <v>826</v>
      </c>
      <c r="G63" s="24" t="s">
        <v>1088</v>
      </c>
      <c r="H63" s="25" t="n">
        <v>4.6</v>
      </c>
      <c r="I63" s="24" t="s">
        <v>927</v>
      </c>
      <c r="J63" s="24" t="s">
        <v>928</v>
      </c>
      <c r="K63" s="24" t="s">
        <v>1089</v>
      </c>
      <c r="L63" s="24" t="s">
        <v>831</v>
      </c>
      <c r="M63" s="24" t="s">
        <v>1090</v>
      </c>
    </row>
    <row r="64" customFormat="false" ht="15" hidden="false" customHeight="false" outlineLevel="0" collapsed="false">
      <c r="A64" s="24" t="s">
        <v>133</v>
      </c>
      <c r="B64" s="24" t="s">
        <v>40</v>
      </c>
      <c r="C64" s="24"/>
      <c r="D64" s="25"/>
      <c r="E64" s="24"/>
      <c r="F64" s="24"/>
      <c r="G64" s="24"/>
      <c r="H64" s="25"/>
      <c r="I64" s="24" t="s">
        <v>993</v>
      </c>
      <c r="J64" s="24" t="s">
        <v>928</v>
      </c>
      <c r="K64" s="24" t="s">
        <v>1091</v>
      </c>
      <c r="L64" s="24" t="s">
        <v>831</v>
      </c>
      <c r="M64" s="24" t="s">
        <v>1092</v>
      </c>
    </row>
    <row r="65" customFormat="false" ht="15" hidden="false" customHeight="false" outlineLevel="0" collapsed="false">
      <c r="A65" s="24" t="s">
        <v>138</v>
      </c>
      <c r="B65" s="24" t="s">
        <v>823</v>
      </c>
      <c r="C65" s="24" t="s">
        <v>1093</v>
      </c>
      <c r="D65" s="25" t="n">
        <v>0.89</v>
      </c>
      <c r="E65" s="24" t="s">
        <v>1094</v>
      </c>
      <c r="F65" s="24"/>
      <c r="G65" s="24" t="s">
        <v>1095</v>
      </c>
      <c r="H65" s="25" t="n">
        <v>1.06</v>
      </c>
      <c r="I65" s="24" t="s">
        <v>1096</v>
      </c>
      <c r="J65" s="24" t="s">
        <v>829</v>
      </c>
      <c r="K65" s="24" t="s">
        <v>1097</v>
      </c>
      <c r="L65" s="24" t="s">
        <v>831</v>
      </c>
      <c r="M65" s="24" t="s">
        <v>1098</v>
      </c>
    </row>
    <row r="66" customFormat="false" ht="15" hidden="false" customHeight="false" outlineLevel="0" collapsed="false">
      <c r="A66" s="24" t="s">
        <v>138</v>
      </c>
      <c r="B66" s="24" t="s">
        <v>833</v>
      </c>
      <c r="C66" s="24" t="s">
        <v>1099</v>
      </c>
      <c r="D66" s="25" t="n">
        <v>0.89</v>
      </c>
      <c r="E66" s="24" t="s">
        <v>1100</v>
      </c>
      <c r="F66" s="24"/>
      <c r="G66" s="24" t="s">
        <v>1101</v>
      </c>
      <c r="H66" s="25" t="n">
        <v>1.06</v>
      </c>
      <c r="I66" s="24" t="s">
        <v>1096</v>
      </c>
      <c r="J66" s="24" t="s">
        <v>829</v>
      </c>
      <c r="K66" s="24" t="s">
        <v>1102</v>
      </c>
      <c r="L66" s="24" t="s">
        <v>831</v>
      </c>
      <c r="M66" s="24" t="s">
        <v>1103</v>
      </c>
    </row>
    <row r="67" customFormat="false" ht="15" hidden="false" customHeight="false" outlineLevel="0" collapsed="false">
      <c r="A67" s="24" t="s">
        <v>138</v>
      </c>
      <c r="B67" s="24" t="s">
        <v>40</v>
      </c>
      <c r="C67" s="24" t="s">
        <v>1104</v>
      </c>
      <c r="D67" s="25" t="n">
        <v>0.89</v>
      </c>
      <c r="E67" s="24" t="s">
        <v>1100</v>
      </c>
      <c r="F67" s="24"/>
      <c r="G67" s="24" t="s">
        <v>1105</v>
      </c>
      <c r="H67" s="25" t="n">
        <v>1.06</v>
      </c>
      <c r="I67" s="24" t="s">
        <v>1096</v>
      </c>
      <c r="J67" s="24" t="s">
        <v>829</v>
      </c>
      <c r="K67" s="24" t="s">
        <v>1106</v>
      </c>
      <c r="L67" s="24" t="s">
        <v>831</v>
      </c>
      <c r="M67" s="24" t="s">
        <v>1103</v>
      </c>
    </row>
    <row r="68" customFormat="false" ht="15" hidden="false" customHeight="false" outlineLevel="0" collapsed="false">
      <c r="A68" s="24" t="s">
        <v>142</v>
      </c>
      <c r="B68" s="24" t="s">
        <v>823</v>
      </c>
      <c r="C68" s="24" t="s">
        <v>1107</v>
      </c>
      <c r="D68" s="25" t="n">
        <v>0.67</v>
      </c>
      <c r="E68" s="24" t="s">
        <v>1108</v>
      </c>
      <c r="F68" s="24" t="s">
        <v>940</v>
      </c>
      <c r="G68" s="24" t="s">
        <v>1109</v>
      </c>
      <c r="H68" s="25" t="n">
        <v>4.47</v>
      </c>
      <c r="I68" s="24" t="s">
        <v>828</v>
      </c>
      <c r="J68" s="24" t="s">
        <v>829</v>
      </c>
      <c r="K68" s="24" t="s">
        <v>1110</v>
      </c>
      <c r="L68" s="24" t="s">
        <v>831</v>
      </c>
      <c r="M68" s="24" t="s">
        <v>1111</v>
      </c>
    </row>
    <row r="69" customFormat="false" ht="15" hidden="false" customHeight="false" outlineLevel="0" collapsed="false">
      <c r="A69" s="24" t="s">
        <v>142</v>
      </c>
      <c r="B69" s="24" t="s">
        <v>833</v>
      </c>
      <c r="C69" s="24"/>
      <c r="D69" s="25"/>
      <c r="E69" s="24"/>
      <c r="F69" s="24"/>
      <c r="G69" s="24"/>
      <c r="H69" s="25"/>
      <c r="I69" s="24" t="s">
        <v>993</v>
      </c>
      <c r="J69" s="24" t="s">
        <v>928</v>
      </c>
      <c r="K69" s="24" t="s">
        <v>1112</v>
      </c>
      <c r="L69" s="24" t="s">
        <v>831</v>
      </c>
      <c r="M69" s="24" t="s">
        <v>995</v>
      </c>
    </row>
    <row r="70" customFormat="false" ht="15" hidden="false" customHeight="false" outlineLevel="0" collapsed="false">
      <c r="A70" s="24" t="s">
        <v>142</v>
      </c>
      <c r="B70" s="24" t="s">
        <v>40</v>
      </c>
      <c r="C70" s="24" t="s">
        <v>1113</v>
      </c>
      <c r="D70" s="25" t="n">
        <v>0.8</v>
      </c>
      <c r="E70" s="24" t="s">
        <v>1114</v>
      </c>
      <c r="F70" s="24" t="s">
        <v>1115</v>
      </c>
      <c r="G70" s="24" t="s">
        <v>1116</v>
      </c>
      <c r="H70" s="25" t="n">
        <v>4.44</v>
      </c>
      <c r="I70" s="24" t="s">
        <v>828</v>
      </c>
      <c r="J70" s="24" t="s">
        <v>829</v>
      </c>
      <c r="K70" s="24" t="s">
        <v>1117</v>
      </c>
      <c r="L70" s="24" t="s">
        <v>831</v>
      </c>
      <c r="M70" s="24" t="s">
        <v>1118</v>
      </c>
    </row>
    <row r="71" customFormat="false" ht="15" hidden="false" customHeight="false" outlineLevel="0" collapsed="false">
      <c r="A71" s="24" t="s">
        <v>146</v>
      </c>
      <c r="B71" s="24" t="s">
        <v>823</v>
      </c>
      <c r="C71" s="24" t="s">
        <v>1119</v>
      </c>
      <c r="D71" s="25" t="n">
        <v>0.87</v>
      </c>
      <c r="E71" s="24" t="s">
        <v>1120</v>
      </c>
      <c r="F71" s="24"/>
      <c r="G71" s="24" t="s">
        <v>1121</v>
      </c>
      <c r="H71" s="25"/>
      <c r="I71" s="24" t="s">
        <v>1084</v>
      </c>
      <c r="J71" s="24" t="s">
        <v>928</v>
      </c>
      <c r="K71" s="24" t="s">
        <v>1122</v>
      </c>
      <c r="L71" s="24" t="s">
        <v>831</v>
      </c>
      <c r="M71" s="24" t="s">
        <v>1123</v>
      </c>
    </row>
    <row r="72" customFormat="false" ht="15" hidden="false" customHeight="false" outlineLevel="0" collapsed="false">
      <c r="A72" s="24" t="s">
        <v>146</v>
      </c>
      <c r="B72" s="24" t="s">
        <v>833</v>
      </c>
      <c r="C72" s="24" t="s">
        <v>1124</v>
      </c>
      <c r="D72" s="25" t="n">
        <v>0.87</v>
      </c>
      <c r="E72" s="24" t="s">
        <v>1125</v>
      </c>
      <c r="F72" s="24"/>
      <c r="G72" s="24" t="s">
        <v>1126</v>
      </c>
      <c r="H72" s="25"/>
      <c r="I72" s="24" t="s">
        <v>1084</v>
      </c>
      <c r="J72" s="24" t="s">
        <v>928</v>
      </c>
      <c r="K72" s="24" t="s">
        <v>1127</v>
      </c>
      <c r="L72" s="24" t="s">
        <v>831</v>
      </c>
      <c r="M72" s="24" t="s">
        <v>1128</v>
      </c>
    </row>
    <row r="73" customFormat="false" ht="15" hidden="false" customHeight="false" outlineLevel="0" collapsed="false">
      <c r="A73" s="24" t="s">
        <v>146</v>
      </c>
      <c r="B73" s="24" t="s">
        <v>40</v>
      </c>
      <c r="C73" s="24" t="s">
        <v>1129</v>
      </c>
      <c r="D73" s="25" t="n">
        <v>0.87</v>
      </c>
      <c r="E73" s="24" t="s">
        <v>1130</v>
      </c>
      <c r="F73" s="24"/>
      <c r="G73" s="24" t="s">
        <v>1131</v>
      </c>
      <c r="H73" s="25"/>
      <c r="I73" s="24" t="s">
        <v>1084</v>
      </c>
      <c r="J73" s="24" t="s">
        <v>928</v>
      </c>
      <c r="K73" s="24" t="s">
        <v>1132</v>
      </c>
      <c r="L73" s="24" t="s">
        <v>831</v>
      </c>
      <c r="M73" s="24" t="s">
        <v>1133</v>
      </c>
    </row>
    <row r="74" customFormat="false" ht="15" hidden="false" customHeight="false" outlineLevel="0" collapsed="false">
      <c r="A74" s="24" t="s">
        <v>150</v>
      </c>
      <c r="B74" s="24" t="s">
        <v>823</v>
      </c>
      <c r="C74" s="24" t="s">
        <v>1134</v>
      </c>
      <c r="D74" s="25" t="n">
        <v>1.75</v>
      </c>
      <c r="E74" s="24" t="s">
        <v>989</v>
      </c>
      <c r="F74" s="24" t="s">
        <v>990</v>
      </c>
      <c r="G74" s="24" t="s">
        <v>1135</v>
      </c>
      <c r="H74" s="25" t="n">
        <v>8.75</v>
      </c>
      <c r="I74" s="24" t="s">
        <v>828</v>
      </c>
      <c r="J74" s="24" t="s">
        <v>829</v>
      </c>
      <c r="K74" s="24" t="s">
        <v>1136</v>
      </c>
      <c r="L74" s="24" t="s">
        <v>831</v>
      </c>
      <c r="M74" s="24" t="s">
        <v>1137</v>
      </c>
    </row>
    <row r="75" customFormat="false" ht="15" hidden="false" customHeight="false" outlineLevel="0" collapsed="false">
      <c r="A75" s="24" t="s">
        <v>150</v>
      </c>
      <c r="B75" s="24" t="s">
        <v>833</v>
      </c>
      <c r="C75" s="24" t="s">
        <v>1138</v>
      </c>
      <c r="D75" s="25" t="n">
        <v>1.75</v>
      </c>
      <c r="E75" s="24" t="s">
        <v>1139</v>
      </c>
      <c r="F75" s="24" t="s">
        <v>1140</v>
      </c>
      <c r="G75" s="24" t="s">
        <v>1141</v>
      </c>
      <c r="H75" s="25" t="n">
        <v>10</v>
      </c>
      <c r="I75" s="24" t="s">
        <v>828</v>
      </c>
      <c r="J75" s="24" t="s">
        <v>829</v>
      </c>
      <c r="K75" s="24" t="s">
        <v>1142</v>
      </c>
      <c r="L75" s="24" t="s">
        <v>831</v>
      </c>
      <c r="M75" s="24" t="s">
        <v>1137</v>
      </c>
    </row>
    <row r="76" customFormat="false" ht="15" hidden="false" customHeight="false" outlineLevel="0" collapsed="false">
      <c r="A76" s="24" t="s">
        <v>150</v>
      </c>
      <c r="B76" s="24" t="s">
        <v>40</v>
      </c>
      <c r="C76" s="24" t="s">
        <v>1143</v>
      </c>
      <c r="D76" s="25" t="n">
        <v>0.95</v>
      </c>
      <c r="E76" s="24" t="s">
        <v>1144</v>
      </c>
      <c r="F76" s="24" t="s">
        <v>954</v>
      </c>
      <c r="G76" s="24" t="s">
        <v>1145</v>
      </c>
      <c r="H76" s="25"/>
      <c r="I76" s="24" t="s">
        <v>1146</v>
      </c>
      <c r="J76" s="24" t="s">
        <v>928</v>
      </c>
      <c r="K76" s="24" t="s">
        <v>1147</v>
      </c>
      <c r="L76" s="24" t="s">
        <v>831</v>
      </c>
      <c r="M76" s="24" t="s">
        <v>1148</v>
      </c>
    </row>
    <row r="77" customFormat="false" ht="15" hidden="false" customHeight="false" outlineLevel="0" collapsed="false">
      <c r="A77" s="24" t="s">
        <v>154</v>
      </c>
      <c r="B77" s="24" t="s">
        <v>823</v>
      </c>
      <c r="C77" s="24" t="s">
        <v>1149</v>
      </c>
      <c r="D77" s="25" t="n">
        <v>0.72</v>
      </c>
      <c r="E77" s="24" t="s">
        <v>1150</v>
      </c>
      <c r="F77" s="24" t="s">
        <v>1151</v>
      </c>
      <c r="G77" s="24" t="s">
        <v>1152</v>
      </c>
      <c r="H77" s="25" t="n">
        <v>14.4</v>
      </c>
      <c r="I77" s="24" t="s">
        <v>828</v>
      </c>
      <c r="J77" s="24" t="s">
        <v>829</v>
      </c>
      <c r="K77" s="24" t="s">
        <v>1153</v>
      </c>
      <c r="L77" s="24" t="s">
        <v>831</v>
      </c>
      <c r="M77" s="24" t="s">
        <v>1154</v>
      </c>
    </row>
    <row r="78" customFormat="false" ht="15" hidden="false" customHeight="false" outlineLevel="0" collapsed="false">
      <c r="A78" s="24" t="s">
        <v>154</v>
      </c>
      <c r="B78" s="24" t="s">
        <v>833</v>
      </c>
      <c r="C78" s="24" t="s">
        <v>1155</v>
      </c>
      <c r="D78" s="25" t="n">
        <v>0.75</v>
      </c>
      <c r="E78" s="24" t="s">
        <v>1156</v>
      </c>
      <c r="F78" s="24" t="s">
        <v>1157</v>
      </c>
      <c r="G78" s="24" t="s">
        <v>1158</v>
      </c>
      <c r="H78" s="25" t="n">
        <v>11.54</v>
      </c>
      <c r="I78" s="24" t="s">
        <v>828</v>
      </c>
      <c r="J78" s="24" t="s">
        <v>829</v>
      </c>
      <c r="K78" s="24" t="s">
        <v>1159</v>
      </c>
      <c r="L78" s="24" t="s">
        <v>831</v>
      </c>
      <c r="M78" s="24"/>
    </row>
    <row r="79" customFormat="false" ht="15" hidden="false" customHeight="false" outlineLevel="0" collapsed="false">
      <c r="A79" s="24" t="s">
        <v>154</v>
      </c>
      <c r="B79" s="24" t="s">
        <v>40</v>
      </c>
      <c r="C79" s="24" t="s">
        <v>1160</v>
      </c>
      <c r="D79" s="25" t="n">
        <v>1.15</v>
      </c>
      <c r="E79" s="24" t="s">
        <v>1161</v>
      </c>
      <c r="F79" s="24" t="s">
        <v>1162</v>
      </c>
      <c r="G79" s="24" t="s">
        <v>1163</v>
      </c>
      <c r="H79" s="25" t="n">
        <v>14.37</v>
      </c>
      <c r="I79" s="24" t="s">
        <v>828</v>
      </c>
      <c r="J79" s="24" t="s">
        <v>829</v>
      </c>
      <c r="K79" s="24" t="s">
        <v>1164</v>
      </c>
      <c r="L79" s="24" t="s">
        <v>831</v>
      </c>
      <c r="M79" s="24" t="s">
        <v>1165</v>
      </c>
    </row>
    <row r="80" customFormat="false" ht="15" hidden="false" customHeight="false" outlineLevel="0" collapsed="false">
      <c r="A80" s="24" t="s">
        <v>158</v>
      </c>
      <c r="B80" s="24" t="s">
        <v>823</v>
      </c>
      <c r="C80" s="24" t="s">
        <v>1166</v>
      </c>
      <c r="D80" s="25" t="n">
        <v>0.59</v>
      </c>
      <c r="E80" s="24" t="s">
        <v>1150</v>
      </c>
      <c r="F80" s="24" t="s">
        <v>1151</v>
      </c>
      <c r="G80" s="24" t="s">
        <v>1167</v>
      </c>
      <c r="H80" s="25" t="n">
        <v>11.8</v>
      </c>
      <c r="I80" s="24" t="s">
        <v>828</v>
      </c>
      <c r="J80" s="24" t="s">
        <v>829</v>
      </c>
      <c r="K80" s="24" t="s">
        <v>1168</v>
      </c>
      <c r="L80" s="24" t="s">
        <v>831</v>
      </c>
      <c r="M80" s="24" t="s">
        <v>1169</v>
      </c>
    </row>
    <row r="81" customFormat="false" ht="15" hidden="false" customHeight="false" outlineLevel="0" collapsed="false">
      <c r="A81" s="24" t="s">
        <v>158</v>
      </c>
      <c r="B81" s="24" t="s">
        <v>833</v>
      </c>
      <c r="C81" s="24" t="s">
        <v>1170</v>
      </c>
      <c r="D81" s="25" t="n">
        <v>0.55</v>
      </c>
      <c r="E81" s="24" t="s">
        <v>1156</v>
      </c>
      <c r="F81" s="24" t="s">
        <v>1157</v>
      </c>
      <c r="G81" s="24" t="s">
        <v>1171</v>
      </c>
      <c r="H81" s="25" t="n">
        <v>8.46</v>
      </c>
      <c r="I81" s="24" t="s">
        <v>828</v>
      </c>
      <c r="J81" s="24" t="s">
        <v>829</v>
      </c>
      <c r="K81" s="24" t="s">
        <v>1172</v>
      </c>
      <c r="L81" s="24" t="s">
        <v>831</v>
      </c>
      <c r="M81" s="24" t="s">
        <v>852</v>
      </c>
    </row>
    <row r="82" customFormat="false" ht="15" hidden="false" customHeight="false" outlineLevel="0" collapsed="false">
      <c r="A82" s="24" t="s">
        <v>158</v>
      </c>
      <c r="B82" s="24" t="s">
        <v>40</v>
      </c>
      <c r="C82" s="24" t="s">
        <v>1173</v>
      </c>
      <c r="D82" s="25" t="n">
        <v>0.51</v>
      </c>
      <c r="E82" s="24" t="s">
        <v>1174</v>
      </c>
      <c r="F82" s="24" t="s">
        <v>1175</v>
      </c>
      <c r="G82" s="24" t="s">
        <v>1176</v>
      </c>
      <c r="H82" s="25" t="n">
        <v>8.5</v>
      </c>
      <c r="I82" s="24" t="s">
        <v>828</v>
      </c>
      <c r="J82" s="24" t="s">
        <v>829</v>
      </c>
      <c r="K82" s="24" t="s">
        <v>1177</v>
      </c>
      <c r="L82" s="24" t="s">
        <v>831</v>
      </c>
      <c r="M82" s="24" t="s">
        <v>963</v>
      </c>
    </row>
    <row r="83" customFormat="false" ht="15" hidden="false" customHeight="false" outlineLevel="0" collapsed="false">
      <c r="A83" s="24" t="s">
        <v>464</v>
      </c>
      <c r="B83" s="24" t="s">
        <v>823</v>
      </c>
      <c r="C83" s="24" t="s">
        <v>1178</v>
      </c>
      <c r="D83" s="25" t="n">
        <v>0.7</v>
      </c>
      <c r="E83" s="24" t="s">
        <v>1179</v>
      </c>
      <c r="F83" s="24"/>
      <c r="G83" s="24" t="s">
        <v>1180</v>
      </c>
      <c r="H83" s="25" t="n">
        <v>5.88</v>
      </c>
      <c r="I83" s="24" t="s">
        <v>1181</v>
      </c>
      <c r="J83" s="24" t="s">
        <v>829</v>
      </c>
      <c r="K83" s="24" t="s">
        <v>1182</v>
      </c>
      <c r="L83" s="24" t="s">
        <v>831</v>
      </c>
      <c r="M83" s="24" t="s">
        <v>1183</v>
      </c>
    </row>
    <row r="84" customFormat="false" ht="15" hidden="false" customHeight="false" outlineLevel="0" collapsed="false">
      <c r="A84" s="24" t="s">
        <v>464</v>
      </c>
      <c r="B84" s="24" t="s">
        <v>833</v>
      </c>
      <c r="C84" s="24" t="s">
        <v>1184</v>
      </c>
      <c r="D84" s="25" t="n">
        <v>0.7</v>
      </c>
      <c r="E84" s="24" t="s">
        <v>1073</v>
      </c>
      <c r="F84" s="24"/>
      <c r="G84" s="24" t="s">
        <v>1185</v>
      </c>
      <c r="H84" s="25" t="n">
        <v>5.88</v>
      </c>
      <c r="I84" s="24" t="s">
        <v>1181</v>
      </c>
      <c r="J84" s="24" t="s">
        <v>829</v>
      </c>
      <c r="K84" s="24" t="s">
        <v>1186</v>
      </c>
      <c r="L84" s="24" t="s">
        <v>831</v>
      </c>
      <c r="M84" s="24" t="s">
        <v>1187</v>
      </c>
    </row>
    <row r="85" customFormat="false" ht="15" hidden="false" customHeight="false" outlineLevel="0" collapsed="false">
      <c r="A85" s="24" t="s">
        <v>464</v>
      </c>
      <c r="B85" s="24" t="s">
        <v>40</v>
      </c>
      <c r="C85" s="24"/>
      <c r="D85" s="25"/>
      <c r="E85" s="24"/>
      <c r="F85" s="24"/>
      <c r="G85" s="24"/>
      <c r="H85" s="25"/>
      <c r="I85" s="24" t="s">
        <v>993</v>
      </c>
      <c r="J85" s="24" t="s">
        <v>928</v>
      </c>
      <c r="K85" s="24" t="s">
        <v>1188</v>
      </c>
      <c r="L85" s="24" t="s">
        <v>831</v>
      </c>
      <c r="M85" s="24" t="s">
        <v>1189</v>
      </c>
    </row>
    <row r="86" customFormat="false" ht="15" hidden="false" customHeight="false" outlineLevel="0" collapsed="false">
      <c r="A86" s="24" t="s">
        <v>162</v>
      </c>
      <c r="B86" s="24" t="s">
        <v>823</v>
      </c>
      <c r="C86" s="24"/>
      <c r="D86" s="25"/>
      <c r="E86" s="24"/>
      <c r="F86" s="24"/>
      <c r="G86" s="24"/>
      <c r="H86" s="25"/>
      <c r="I86" s="24" t="s">
        <v>993</v>
      </c>
      <c r="J86" s="24" t="s">
        <v>928</v>
      </c>
      <c r="K86" s="24" t="s">
        <v>1190</v>
      </c>
      <c r="L86" s="24" t="s">
        <v>831</v>
      </c>
      <c r="M86" s="24" t="s">
        <v>1191</v>
      </c>
    </row>
    <row r="87" customFormat="false" ht="15" hidden="false" customHeight="false" outlineLevel="0" collapsed="false">
      <c r="A87" s="24" t="s">
        <v>162</v>
      </c>
      <c r="B87" s="24" t="s">
        <v>833</v>
      </c>
      <c r="C87" s="24" t="s">
        <v>1192</v>
      </c>
      <c r="D87" s="25" t="n">
        <v>1.35</v>
      </c>
      <c r="E87" s="24" t="s">
        <v>1193</v>
      </c>
      <c r="F87" s="24" t="s">
        <v>1194</v>
      </c>
      <c r="G87" s="24" t="s">
        <v>1195</v>
      </c>
      <c r="H87" s="25" t="n">
        <v>3.38</v>
      </c>
      <c r="I87" s="24" t="s">
        <v>828</v>
      </c>
      <c r="J87" s="24" t="s">
        <v>829</v>
      </c>
      <c r="K87" s="24" t="s">
        <v>1196</v>
      </c>
      <c r="L87" s="24" t="s">
        <v>831</v>
      </c>
      <c r="M87" s="24"/>
    </row>
    <row r="88" customFormat="false" ht="15" hidden="false" customHeight="false" outlineLevel="0" collapsed="false">
      <c r="A88" s="24" t="s">
        <v>162</v>
      </c>
      <c r="B88" s="24" t="s">
        <v>40</v>
      </c>
      <c r="C88" s="24" t="s">
        <v>1197</v>
      </c>
      <c r="D88" s="25" t="n">
        <v>1.35</v>
      </c>
      <c r="E88" s="24" t="s">
        <v>1198</v>
      </c>
      <c r="F88" s="24" t="s">
        <v>1194</v>
      </c>
      <c r="G88" s="24" t="s">
        <v>1199</v>
      </c>
      <c r="H88" s="25" t="n">
        <v>3.38</v>
      </c>
      <c r="I88" s="24" t="s">
        <v>828</v>
      </c>
      <c r="J88" s="24" t="s">
        <v>829</v>
      </c>
      <c r="K88" s="24" t="s">
        <v>1200</v>
      </c>
      <c r="L88" s="24" t="s">
        <v>831</v>
      </c>
      <c r="M88" s="24" t="s">
        <v>1201</v>
      </c>
    </row>
    <row r="89" customFormat="false" ht="15" hidden="false" customHeight="false" outlineLevel="0" collapsed="false">
      <c r="A89" s="24" t="s">
        <v>167</v>
      </c>
      <c r="B89" s="24" t="s">
        <v>823</v>
      </c>
      <c r="C89" s="24" t="s">
        <v>1202</v>
      </c>
      <c r="D89" s="25" t="n">
        <v>0.65</v>
      </c>
      <c r="E89" s="24" t="s">
        <v>1203</v>
      </c>
      <c r="F89" s="24" t="s">
        <v>1204</v>
      </c>
      <c r="G89" s="24" t="s">
        <v>1205</v>
      </c>
      <c r="H89" s="25" t="n">
        <v>6.5</v>
      </c>
      <c r="I89" s="24" t="s">
        <v>828</v>
      </c>
      <c r="J89" s="24" t="s">
        <v>829</v>
      </c>
      <c r="K89" s="24" t="s">
        <v>1206</v>
      </c>
      <c r="L89" s="24" t="s">
        <v>831</v>
      </c>
      <c r="M89" s="24" t="s">
        <v>1207</v>
      </c>
    </row>
    <row r="90" customFormat="false" ht="15" hidden="false" customHeight="false" outlineLevel="0" collapsed="false">
      <c r="A90" s="24" t="s">
        <v>167</v>
      </c>
      <c r="B90" s="24" t="s">
        <v>833</v>
      </c>
      <c r="C90" s="24" t="s">
        <v>1208</v>
      </c>
      <c r="D90" s="25" t="n">
        <v>0.69</v>
      </c>
      <c r="E90" s="24" t="s">
        <v>1209</v>
      </c>
      <c r="F90" s="24" t="s">
        <v>1204</v>
      </c>
      <c r="G90" s="24" t="s">
        <v>1210</v>
      </c>
      <c r="H90" s="25" t="n">
        <v>6.9</v>
      </c>
      <c r="I90" s="24" t="s">
        <v>828</v>
      </c>
      <c r="J90" s="24" t="s">
        <v>829</v>
      </c>
      <c r="K90" s="24" t="s">
        <v>1211</v>
      </c>
      <c r="L90" s="24" t="s">
        <v>831</v>
      </c>
      <c r="M90" s="24" t="s">
        <v>1212</v>
      </c>
    </row>
    <row r="91" customFormat="false" ht="15" hidden="false" customHeight="false" outlineLevel="0" collapsed="false">
      <c r="A91" s="24" t="s">
        <v>167</v>
      </c>
      <c r="B91" s="24" t="s">
        <v>40</v>
      </c>
      <c r="C91" s="24" t="s">
        <v>1213</v>
      </c>
      <c r="D91" s="25" t="n">
        <v>0.69</v>
      </c>
      <c r="E91" s="24" t="s">
        <v>1214</v>
      </c>
      <c r="F91" s="24" t="s">
        <v>1204</v>
      </c>
      <c r="G91" s="24" t="s">
        <v>1215</v>
      </c>
      <c r="H91" s="25" t="n">
        <v>6.9</v>
      </c>
      <c r="I91" s="24" t="s">
        <v>828</v>
      </c>
      <c r="J91" s="24" t="s">
        <v>829</v>
      </c>
      <c r="K91" s="24" t="s">
        <v>1216</v>
      </c>
      <c r="L91" s="24" t="s">
        <v>831</v>
      </c>
      <c r="M91" s="24" t="s">
        <v>1217</v>
      </c>
    </row>
    <row r="92" customFormat="false" ht="15" hidden="false" customHeight="false" outlineLevel="0" collapsed="false">
      <c r="A92" s="24" t="s">
        <v>171</v>
      </c>
      <c r="B92" s="24" t="s">
        <v>823</v>
      </c>
      <c r="C92" s="24" t="s">
        <v>1218</v>
      </c>
      <c r="D92" s="25" t="n">
        <v>1.5</v>
      </c>
      <c r="E92" s="24" t="s">
        <v>1073</v>
      </c>
      <c r="F92" s="24"/>
      <c r="G92" s="24" t="s">
        <v>1219</v>
      </c>
      <c r="H92" s="25"/>
      <c r="I92" s="24" t="s">
        <v>1084</v>
      </c>
      <c r="J92" s="24" t="s">
        <v>928</v>
      </c>
      <c r="K92" s="24" t="s">
        <v>1220</v>
      </c>
      <c r="L92" s="24" t="s">
        <v>831</v>
      </c>
      <c r="M92" s="24" t="s">
        <v>1221</v>
      </c>
    </row>
    <row r="93" customFormat="false" ht="15" hidden="false" customHeight="false" outlineLevel="0" collapsed="false">
      <c r="A93" s="24" t="s">
        <v>171</v>
      </c>
      <c r="B93" s="24" t="s">
        <v>833</v>
      </c>
      <c r="C93" s="24" t="s">
        <v>1222</v>
      </c>
      <c r="D93" s="25" t="n">
        <v>1.5</v>
      </c>
      <c r="E93" s="24" t="s">
        <v>1223</v>
      </c>
      <c r="F93" s="24" t="s">
        <v>836</v>
      </c>
      <c r="G93" s="24" t="s">
        <v>1224</v>
      </c>
      <c r="H93" s="25" t="n">
        <v>1.5</v>
      </c>
      <c r="I93" s="24" t="s">
        <v>927</v>
      </c>
      <c r="J93" s="24" t="s">
        <v>928</v>
      </c>
      <c r="K93" s="24" t="s">
        <v>1225</v>
      </c>
      <c r="L93" s="24" t="s">
        <v>831</v>
      </c>
      <c r="M93" s="24" t="s">
        <v>1226</v>
      </c>
    </row>
    <row r="94" customFormat="false" ht="15" hidden="false" customHeight="false" outlineLevel="0" collapsed="false">
      <c r="A94" s="24" t="s">
        <v>171</v>
      </c>
      <c r="B94" s="24" t="s">
        <v>40</v>
      </c>
      <c r="C94" s="24" t="s">
        <v>1227</v>
      </c>
      <c r="D94" s="25" t="n">
        <v>1.5</v>
      </c>
      <c r="E94" s="24" t="s">
        <v>1073</v>
      </c>
      <c r="F94" s="24"/>
      <c r="G94" s="24" t="s">
        <v>1228</v>
      </c>
      <c r="H94" s="25"/>
      <c r="I94" s="24" t="s">
        <v>1084</v>
      </c>
      <c r="J94" s="24" t="s">
        <v>928</v>
      </c>
      <c r="K94" s="24" t="s">
        <v>1229</v>
      </c>
      <c r="L94" s="24" t="s">
        <v>831</v>
      </c>
      <c r="M94" s="24" t="s">
        <v>1230</v>
      </c>
    </row>
    <row r="95" customFormat="false" ht="15" hidden="false" customHeight="false" outlineLevel="0" collapsed="false">
      <c r="A95" s="24" t="s">
        <v>468</v>
      </c>
      <c r="B95" s="24" t="s">
        <v>823</v>
      </c>
      <c r="C95" s="24" t="s">
        <v>1231</v>
      </c>
      <c r="D95" s="25" t="n">
        <v>1.19</v>
      </c>
      <c r="E95" s="24" t="s">
        <v>1232</v>
      </c>
      <c r="F95" s="24"/>
      <c r="G95" s="24" t="s">
        <v>1233</v>
      </c>
      <c r="H95" s="25" t="n">
        <v>2.02</v>
      </c>
      <c r="I95" s="24" t="s">
        <v>1234</v>
      </c>
      <c r="J95" s="24" t="s">
        <v>829</v>
      </c>
      <c r="K95" s="24" t="s">
        <v>1235</v>
      </c>
      <c r="L95" s="24" t="s">
        <v>831</v>
      </c>
      <c r="M95" s="24" t="s">
        <v>1236</v>
      </c>
    </row>
    <row r="96" customFormat="false" ht="15" hidden="false" customHeight="false" outlineLevel="0" collapsed="false">
      <c r="A96" s="24" t="s">
        <v>468</v>
      </c>
      <c r="B96" s="24" t="s">
        <v>833</v>
      </c>
      <c r="C96" s="24" t="s">
        <v>1237</v>
      </c>
      <c r="D96" s="25" t="n">
        <v>1.18</v>
      </c>
      <c r="E96" s="24" t="s">
        <v>1100</v>
      </c>
      <c r="F96" s="24"/>
      <c r="G96" s="24" t="s">
        <v>1238</v>
      </c>
      <c r="H96" s="25" t="n">
        <v>2.01</v>
      </c>
      <c r="I96" s="24" t="s">
        <v>1234</v>
      </c>
      <c r="J96" s="24" t="s">
        <v>829</v>
      </c>
      <c r="K96" s="24" t="s">
        <v>1239</v>
      </c>
      <c r="L96" s="24" t="s">
        <v>831</v>
      </c>
      <c r="M96" s="24" t="s">
        <v>1240</v>
      </c>
    </row>
    <row r="97" customFormat="false" ht="15" hidden="false" customHeight="false" outlineLevel="0" collapsed="false">
      <c r="A97" s="24" t="s">
        <v>468</v>
      </c>
      <c r="B97" s="24" t="s">
        <v>40</v>
      </c>
      <c r="C97" s="24" t="s">
        <v>1241</v>
      </c>
      <c r="D97" s="25" t="n">
        <v>1.18</v>
      </c>
      <c r="E97" s="24" t="s">
        <v>1100</v>
      </c>
      <c r="F97" s="24"/>
      <c r="G97" s="24" t="s">
        <v>1242</v>
      </c>
      <c r="H97" s="25" t="n">
        <v>2.01</v>
      </c>
      <c r="I97" s="24" t="s">
        <v>1234</v>
      </c>
      <c r="J97" s="24" t="s">
        <v>829</v>
      </c>
      <c r="K97" s="24" t="s">
        <v>1243</v>
      </c>
      <c r="L97" s="24" t="s">
        <v>831</v>
      </c>
      <c r="M97" s="24" t="s">
        <v>1244</v>
      </c>
    </row>
    <row r="98" customFormat="false" ht="15" hidden="false" customHeight="false" outlineLevel="0" collapsed="false">
      <c r="A98" s="24" t="s">
        <v>175</v>
      </c>
      <c r="B98" s="24" t="s">
        <v>823</v>
      </c>
      <c r="C98" s="24" t="s">
        <v>1245</v>
      </c>
      <c r="D98" s="25" t="n">
        <v>1.4</v>
      </c>
      <c r="E98" s="24" t="s">
        <v>1246</v>
      </c>
      <c r="F98" s="24" t="s">
        <v>1247</v>
      </c>
      <c r="G98" s="24" t="s">
        <v>1248</v>
      </c>
      <c r="H98" s="25" t="n">
        <v>3.33</v>
      </c>
      <c r="I98" s="24" t="s">
        <v>828</v>
      </c>
      <c r="J98" s="24" t="s">
        <v>829</v>
      </c>
      <c r="K98" s="24" t="s">
        <v>1249</v>
      </c>
      <c r="L98" s="24" t="s">
        <v>831</v>
      </c>
      <c r="M98" s="24" t="s">
        <v>1250</v>
      </c>
    </row>
    <row r="99" customFormat="false" ht="15" hidden="false" customHeight="false" outlineLevel="0" collapsed="false">
      <c r="A99" s="24" t="s">
        <v>175</v>
      </c>
      <c r="B99" s="24" t="s">
        <v>833</v>
      </c>
      <c r="C99" s="24" t="s">
        <v>1251</v>
      </c>
      <c r="D99" s="25" t="n">
        <v>0.89</v>
      </c>
      <c r="E99" s="24" t="s">
        <v>1252</v>
      </c>
      <c r="F99" s="24" t="s">
        <v>1253</v>
      </c>
      <c r="G99" s="24" t="s">
        <v>1254</v>
      </c>
      <c r="H99" s="25" t="n">
        <v>2.7</v>
      </c>
      <c r="I99" s="24" t="s">
        <v>828</v>
      </c>
      <c r="J99" s="24" t="s">
        <v>829</v>
      </c>
      <c r="K99" s="24" t="s">
        <v>1255</v>
      </c>
      <c r="L99" s="24" t="s">
        <v>831</v>
      </c>
      <c r="M99" s="24"/>
    </row>
    <row r="100" customFormat="false" ht="15" hidden="false" customHeight="false" outlineLevel="0" collapsed="false">
      <c r="A100" s="24" t="s">
        <v>175</v>
      </c>
      <c r="B100" s="24" t="s">
        <v>40</v>
      </c>
      <c r="C100" s="24" t="s">
        <v>1256</v>
      </c>
      <c r="D100" s="25" t="n">
        <v>1</v>
      </c>
      <c r="E100" s="24" t="s">
        <v>1257</v>
      </c>
      <c r="F100" s="24" t="s">
        <v>954</v>
      </c>
      <c r="G100" s="24" t="s">
        <v>1248</v>
      </c>
      <c r="H100" s="25" t="n">
        <v>3.33</v>
      </c>
      <c r="I100" s="24" t="s">
        <v>828</v>
      </c>
      <c r="J100" s="24" t="s">
        <v>829</v>
      </c>
      <c r="K100" s="24" t="s">
        <v>1258</v>
      </c>
      <c r="L100" s="24" t="s">
        <v>831</v>
      </c>
      <c r="M100" s="24"/>
    </row>
    <row r="101" customFormat="false" ht="15" hidden="false" customHeight="false" outlineLevel="0" collapsed="false">
      <c r="A101" s="24" t="s">
        <v>472</v>
      </c>
      <c r="B101" s="24" t="s">
        <v>823</v>
      </c>
      <c r="C101" s="24" t="s">
        <v>1259</v>
      </c>
      <c r="D101" s="25" t="n">
        <v>0.89</v>
      </c>
      <c r="E101" s="24" t="s">
        <v>1260</v>
      </c>
      <c r="F101" s="24"/>
      <c r="G101" s="24" t="s">
        <v>1095</v>
      </c>
      <c r="H101" s="25" t="n">
        <v>1.65</v>
      </c>
      <c r="I101" s="24" t="s">
        <v>1261</v>
      </c>
      <c r="J101" s="24" t="s">
        <v>829</v>
      </c>
      <c r="K101" s="24" t="s">
        <v>1262</v>
      </c>
      <c r="L101" s="24" t="s">
        <v>831</v>
      </c>
      <c r="M101" s="24" t="s">
        <v>1263</v>
      </c>
    </row>
    <row r="102" customFormat="false" ht="15" hidden="false" customHeight="false" outlineLevel="0" collapsed="false">
      <c r="A102" s="24" t="s">
        <v>472</v>
      </c>
      <c r="B102" s="24" t="s">
        <v>833</v>
      </c>
      <c r="C102" s="24" t="s">
        <v>1264</v>
      </c>
      <c r="D102" s="25" t="n">
        <v>0.89</v>
      </c>
      <c r="E102" s="24" t="s">
        <v>1265</v>
      </c>
      <c r="F102" s="24"/>
      <c r="G102" s="24" t="s">
        <v>1101</v>
      </c>
      <c r="H102" s="25" t="n">
        <v>1.65</v>
      </c>
      <c r="I102" s="24" t="s">
        <v>1261</v>
      </c>
      <c r="J102" s="24" t="s">
        <v>829</v>
      </c>
      <c r="K102" s="24" t="s">
        <v>1266</v>
      </c>
      <c r="L102" s="24" t="s">
        <v>831</v>
      </c>
      <c r="M102" s="24" t="s">
        <v>1267</v>
      </c>
    </row>
    <row r="103" customFormat="false" ht="15" hidden="false" customHeight="false" outlineLevel="0" collapsed="false">
      <c r="A103" s="24" t="s">
        <v>472</v>
      </c>
      <c r="B103" s="24" t="s">
        <v>40</v>
      </c>
      <c r="C103" s="24" t="s">
        <v>1268</v>
      </c>
      <c r="D103" s="25" t="n">
        <v>0.89</v>
      </c>
      <c r="E103" s="24" t="s">
        <v>1100</v>
      </c>
      <c r="F103" s="24"/>
      <c r="G103" s="24" t="s">
        <v>1105</v>
      </c>
      <c r="H103" s="25" t="n">
        <v>1.65</v>
      </c>
      <c r="I103" s="24" t="s">
        <v>1261</v>
      </c>
      <c r="J103" s="24" t="s">
        <v>829</v>
      </c>
      <c r="K103" s="24" t="s">
        <v>1269</v>
      </c>
      <c r="L103" s="24" t="s">
        <v>831</v>
      </c>
      <c r="M103" s="24" t="s">
        <v>1244</v>
      </c>
    </row>
    <row r="104" customFormat="false" ht="15" hidden="false" customHeight="false" outlineLevel="0" collapsed="false">
      <c r="A104" s="24" t="s">
        <v>179</v>
      </c>
      <c r="B104" s="24" t="s">
        <v>823</v>
      </c>
      <c r="C104" s="24" t="s">
        <v>1270</v>
      </c>
      <c r="D104" s="25" t="n">
        <v>1</v>
      </c>
      <c r="E104" s="24" t="s">
        <v>1271</v>
      </c>
      <c r="F104" s="24" t="s">
        <v>1272</v>
      </c>
      <c r="G104" s="24" t="s">
        <v>1273</v>
      </c>
      <c r="H104" s="25" t="n">
        <v>6.25</v>
      </c>
      <c r="I104" s="24" t="s">
        <v>828</v>
      </c>
      <c r="J104" s="24" t="s">
        <v>829</v>
      </c>
      <c r="K104" s="24" t="s">
        <v>1274</v>
      </c>
      <c r="L104" s="24" t="s">
        <v>831</v>
      </c>
      <c r="M104" s="24"/>
    </row>
    <row r="105" customFormat="false" ht="15" hidden="false" customHeight="false" outlineLevel="0" collapsed="false">
      <c r="A105" s="24" t="s">
        <v>179</v>
      </c>
      <c r="B105" s="24" t="s">
        <v>833</v>
      </c>
      <c r="C105" s="24" t="s">
        <v>1275</v>
      </c>
      <c r="D105" s="25" t="n">
        <v>1</v>
      </c>
      <c r="E105" s="24" t="s">
        <v>1276</v>
      </c>
      <c r="F105" s="24" t="s">
        <v>1277</v>
      </c>
      <c r="G105" s="24" t="s">
        <v>1278</v>
      </c>
      <c r="H105" s="25" t="n">
        <v>8.33</v>
      </c>
      <c r="I105" s="24" t="s">
        <v>828</v>
      </c>
      <c r="J105" s="24" t="s">
        <v>829</v>
      </c>
      <c r="K105" s="24" t="s">
        <v>1279</v>
      </c>
      <c r="L105" s="24" t="s">
        <v>831</v>
      </c>
      <c r="M105" s="24"/>
    </row>
    <row r="106" customFormat="false" ht="15" hidden="false" customHeight="false" outlineLevel="0" collapsed="false">
      <c r="A106" s="24" t="s">
        <v>179</v>
      </c>
      <c r="B106" s="24" t="s">
        <v>40</v>
      </c>
      <c r="C106" s="24" t="s">
        <v>1280</v>
      </c>
      <c r="D106" s="25" t="n">
        <v>1.65</v>
      </c>
      <c r="E106" s="24" t="s">
        <v>1281</v>
      </c>
      <c r="F106" s="24" t="s">
        <v>1282</v>
      </c>
      <c r="G106" s="24" t="s">
        <v>1283</v>
      </c>
      <c r="H106" s="25" t="n">
        <v>7.5</v>
      </c>
      <c r="I106" s="24" t="s">
        <v>828</v>
      </c>
      <c r="J106" s="24" t="s">
        <v>829</v>
      </c>
      <c r="K106" s="24" t="s">
        <v>1284</v>
      </c>
      <c r="L106" s="24" t="s">
        <v>831</v>
      </c>
      <c r="M106" s="24" t="s">
        <v>1285</v>
      </c>
    </row>
    <row r="107" customFormat="false" ht="15" hidden="false" customHeight="false" outlineLevel="0" collapsed="false">
      <c r="A107" s="24" t="s">
        <v>476</v>
      </c>
      <c r="B107" s="24" t="s">
        <v>823</v>
      </c>
      <c r="C107" s="24" t="s">
        <v>1286</v>
      </c>
      <c r="D107" s="25" t="n">
        <v>0.99</v>
      </c>
      <c r="E107" s="24" t="s">
        <v>1287</v>
      </c>
      <c r="F107" s="24"/>
      <c r="G107" s="24" t="s">
        <v>1288</v>
      </c>
      <c r="H107" s="25" t="n">
        <v>3.29</v>
      </c>
      <c r="I107" s="24" t="s">
        <v>1289</v>
      </c>
      <c r="J107" s="24" t="s">
        <v>829</v>
      </c>
      <c r="K107" s="24" t="s">
        <v>1290</v>
      </c>
      <c r="L107" s="24" t="s">
        <v>831</v>
      </c>
      <c r="M107" s="24" t="s">
        <v>1263</v>
      </c>
    </row>
    <row r="108" customFormat="false" ht="15" hidden="false" customHeight="false" outlineLevel="0" collapsed="false">
      <c r="A108" s="24" t="s">
        <v>476</v>
      </c>
      <c r="B108" s="24" t="s">
        <v>833</v>
      </c>
      <c r="C108" s="24" t="s">
        <v>1291</v>
      </c>
      <c r="D108" s="25" t="n">
        <v>0.99</v>
      </c>
      <c r="E108" s="24" t="s">
        <v>1100</v>
      </c>
      <c r="F108" s="24"/>
      <c r="G108" s="24" t="s">
        <v>1292</v>
      </c>
      <c r="H108" s="25" t="n">
        <v>3.29</v>
      </c>
      <c r="I108" s="24" t="s">
        <v>1289</v>
      </c>
      <c r="J108" s="24" t="s">
        <v>829</v>
      </c>
      <c r="K108" s="24" t="s">
        <v>1293</v>
      </c>
      <c r="L108" s="24" t="s">
        <v>831</v>
      </c>
      <c r="M108" s="24" t="s">
        <v>1294</v>
      </c>
    </row>
    <row r="109" customFormat="false" ht="15" hidden="false" customHeight="false" outlineLevel="0" collapsed="false">
      <c r="A109" s="24" t="s">
        <v>476</v>
      </c>
      <c r="B109" s="24" t="s">
        <v>40</v>
      </c>
      <c r="C109" s="24" t="s">
        <v>1295</v>
      </c>
      <c r="D109" s="25" t="n">
        <v>0.99</v>
      </c>
      <c r="E109" s="24" t="s">
        <v>1100</v>
      </c>
      <c r="F109" s="24"/>
      <c r="G109" s="24" t="s">
        <v>1296</v>
      </c>
      <c r="H109" s="25" t="n">
        <v>3.29</v>
      </c>
      <c r="I109" s="24" t="s">
        <v>1289</v>
      </c>
      <c r="J109" s="24" t="s">
        <v>829</v>
      </c>
      <c r="K109" s="24" t="s">
        <v>1297</v>
      </c>
      <c r="L109" s="24" t="s">
        <v>831</v>
      </c>
      <c r="M109" s="24" t="s">
        <v>1298</v>
      </c>
    </row>
    <row r="110" customFormat="false" ht="15" hidden="false" customHeight="false" outlineLevel="0" collapsed="false">
      <c r="A110" s="24" t="s">
        <v>480</v>
      </c>
      <c r="B110" s="24" t="s">
        <v>823</v>
      </c>
      <c r="C110" s="24" t="s">
        <v>1299</v>
      </c>
      <c r="D110" s="25" t="n">
        <v>0.7</v>
      </c>
      <c r="E110" s="24" t="s">
        <v>1287</v>
      </c>
      <c r="F110" s="24"/>
      <c r="G110" s="24" t="s">
        <v>1180</v>
      </c>
      <c r="H110" s="25" t="n">
        <v>5.88</v>
      </c>
      <c r="I110" s="24" t="s">
        <v>1300</v>
      </c>
      <c r="J110" s="24" t="s">
        <v>829</v>
      </c>
      <c r="K110" s="24" t="s">
        <v>1301</v>
      </c>
      <c r="L110" s="24" t="s">
        <v>831</v>
      </c>
      <c r="M110" s="24" t="s">
        <v>1302</v>
      </c>
    </row>
    <row r="111" customFormat="false" ht="15" hidden="false" customHeight="false" outlineLevel="0" collapsed="false">
      <c r="A111" s="24" t="s">
        <v>480</v>
      </c>
      <c r="B111" s="24" t="s">
        <v>833</v>
      </c>
      <c r="C111" s="24" t="s">
        <v>1303</v>
      </c>
      <c r="D111" s="25" t="n">
        <v>0.7</v>
      </c>
      <c r="E111" s="24" t="s">
        <v>1100</v>
      </c>
      <c r="F111" s="24"/>
      <c r="G111" s="24" t="s">
        <v>1185</v>
      </c>
      <c r="H111" s="25" t="n">
        <v>5.88</v>
      </c>
      <c r="I111" s="24" t="s">
        <v>1300</v>
      </c>
      <c r="J111" s="24" t="s">
        <v>829</v>
      </c>
      <c r="K111" s="24" t="s">
        <v>1304</v>
      </c>
      <c r="L111" s="24" t="s">
        <v>831</v>
      </c>
      <c r="M111" s="24" t="s">
        <v>1305</v>
      </c>
    </row>
    <row r="112" customFormat="false" ht="15" hidden="false" customHeight="false" outlineLevel="0" collapsed="false">
      <c r="A112" s="24" t="s">
        <v>480</v>
      </c>
      <c r="B112" s="24" t="s">
        <v>40</v>
      </c>
      <c r="C112" s="24"/>
      <c r="D112" s="25"/>
      <c r="E112" s="24"/>
      <c r="F112" s="24"/>
      <c r="G112" s="24"/>
      <c r="H112" s="25"/>
      <c r="I112" s="24" t="s">
        <v>993</v>
      </c>
      <c r="J112" s="24" t="s">
        <v>928</v>
      </c>
      <c r="K112" s="24" t="s">
        <v>1306</v>
      </c>
      <c r="L112" s="24" t="s">
        <v>831</v>
      </c>
      <c r="M112" s="24" t="s">
        <v>1307</v>
      </c>
    </row>
    <row r="113" customFormat="false" ht="15" hidden="false" customHeight="false" outlineLevel="0" collapsed="false">
      <c r="A113" s="24" t="s">
        <v>484</v>
      </c>
      <c r="B113" s="24" t="s">
        <v>823</v>
      </c>
      <c r="C113" s="24" t="s">
        <v>1308</v>
      </c>
      <c r="D113" s="25" t="n">
        <v>0.7</v>
      </c>
      <c r="E113" s="24" t="s">
        <v>1232</v>
      </c>
      <c r="F113" s="24"/>
      <c r="G113" s="24" t="s">
        <v>1180</v>
      </c>
      <c r="H113" s="25" t="n">
        <v>5.88</v>
      </c>
      <c r="I113" s="24" t="s">
        <v>1309</v>
      </c>
      <c r="J113" s="24" t="s">
        <v>829</v>
      </c>
      <c r="K113" s="24" t="s">
        <v>1310</v>
      </c>
      <c r="L113" s="24" t="s">
        <v>831</v>
      </c>
      <c r="M113" s="24" t="s">
        <v>1311</v>
      </c>
    </row>
    <row r="114" customFormat="false" ht="15" hidden="false" customHeight="false" outlineLevel="0" collapsed="false">
      <c r="A114" s="24" t="s">
        <v>484</v>
      </c>
      <c r="B114" s="24" t="s">
        <v>833</v>
      </c>
      <c r="C114" s="24" t="s">
        <v>1312</v>
      </c>
      <c r="D114" s="25" t="n">
        <v>0.7</v>
      </c>
      <c r="E114" s="24" t="s">
        <v>1100</v>
      </c>
      <c r="F114" s="24"/>
      <c r="G114" s="24" t="s">
        <v>1185</v>
      </c>
      <c r="H114" s="25" t="n">
        <v>5.88</v>
      </c>
      <c r="I114" s="24" t="s">
        <v>1309</v>
      </c>
      <c r="J114" s="24" t="s">
        <v>829</v>
      </c>
      <c r="K114" s="24" t="s">
        <v>1313</v>
      </c>
      <c r="L114" s="24" t="s">
        <v>831</v>
      </c>
      <c r="M114" s="24" t="s">
        <v>1267</v>
      </c>
    </row>
    <row r="115" customFormat="false" ht="15" hidden="false" customHeight="false" outlineLevel="0" collapsed="false">
      <c r="A115" s="24" t="s">
        <v>484</v>
      </c>
      <c r="B115" s="24" t="s">
        <v>40</v>
      </c>
      <c r="C115" s="24" t="s">
        <v>1314</v>
      </c>
      <c r="D115" s="25" t="n">
        <v>0.7</v>
      </c>
      <c r="E115" s="24" t="s">
        <v>1100</v>
      </c>
      <c r="F115" s="24"/>
      <c r="G115" s="24" t="s">
        <v>1315</v>
      </c>
      <c r="H115" s="25" t="n">
        <v>5.88</v>
      </c>
      <c r="I115" s="24" t="s">
        <v>1309</v>
      </c>
      <c r="J115" s="24" t="s">
        <v>829</v>
      </c>
      <c r="K115" s="24" t="s">
        <v>1316</v>
      </c>
      <c r="L115" s="24" t="s">
        <v>831</v>
      </c>
      <c r="M115" s="24" t="s">
        <v>1317</v>
      </c>
    </row>
    <row r="116" customFormat="false" ht="15" hidden="false" customHeight="false" outlineLevel="0" collapsed="false">
      <c r="A116" s="24" t="s">
        <v>647</v>
      </c>
      <c r="B116" s="24" t="s">
        <v>823</v>
      </c>
      <c r="C116" s="24" t="s">
        <v>1318</v>
      </c>
      <c r="D116" s="25" t="n">
        <v>0.55</v>
      </c>
      <c r="E116" s="24" t="s">
        <v>1319</v>
      </c>
      <c r="F116" s="24" t="s">
        <v>1272</v>
      </c>
      <c r="G116" s="24" t="s">
        <v>1320</v>
      </c>
      <c r="H116" s="25" t="n">
        <v>3.44</v>
      </c>
      <c r="I116" s="24" t="s">
        <v>828</v>
      </c>
      <c r="J116" s="24" t="s">
        <v>829</v>
      </c>
      <c r="K116" s="24" t="s">
        <v>1321</v>
      </c>
      <c r="L116" s="24" t="s">
        <v>831</v>
      </c>
      <c r="M116" s="24" t="s">
        <v>1322</v>
      </c>
    </row>
    <row r="117" customFormat="false" ht="15" hidden="false" customHeight="false" outlineLevel="0" collapsed="false">
      <c r="A117" s="24" t="s">
        <v>647</v>
      </c>
      <c r="B117" s="24" t="s">
        <v>833</v>
      </c>
      <c r="C117" s="24" t="s">
        <v>1323</v>
      </c>
      <c r="D117" s="25" t="n">
        <v>0.3</v>
      </c>
      <c r="E117" s="24" t="s">
        <v>1324</v>
      </c>
      <c r="F117" s="24" t="s">
        <v>1325</v>
      </c>
      <c r="G117" s="24" t="s">
        <v>1326</v>
      </c>
      <c r="H117" s="25" t="n">
        <v>1.91</v>
      </c>
      <c r="I117" s="24" t="s">
        <v>828</v>
      </c>
      <c r="J117" s="24" t="s">
        <v>829</v>
      </c>
      <c r="K117" s="24" t="s">
        <v>1327</v>
      </c>
      <c r="L117" s="24" t="s">
        <v>831</v>
      </c>
      <c r="M117" s="24" t="s">
        <v>1328</v>
      </c>
    </row>
    <row r="118" customFormat="false" ht="15" hidden="false" customHeight="false" outlineLevel="0" collapsed="false">
      <c r="A118" s="24" t="s">
        <v>647</v>
      </c>
      <c r="B118" s="24" t="s">
        <v>40</v>
      </c>
      <c r="C118" s="24" t="s">
        <v>1329</v>
      </c>
      <c r="D118" s="25" t="n">
        <v>0.5</v>
      </c>
      <c r="E118" s="24" t="s">
        <v>1330</v>
      </c>
      <c r="F118" s="24" t="s">
        <v>1272</v>
      </c>
      <c r="G118" s="24" t="s">
        <v>1331</v>
      </c>
      <c r="H118" s="25" t="n">
        <v>3.12</v>
      </c>
      <c r="I118" s="24" t="s">
        <v>828</v>
      </c>
      <c r="J118" s="24" t="s">
        <v>829</v>
      </c>
      <c r="K118" s="24" t="s">
        <v>1332</v>
      </c>
      <c r="L118" s="24" t="s">
        <v>831</v>
      </c>
      <c r="M118" s="24" t="s">
        <v>1333</v>
      </c>
    </row>
    <row r="119" customFormat="false" ht="15" hidden="false" customHeight="false" outlineLevel="0" collapsed="false">
      <c r="A119" s="24" t="s">
        <v>183</v>
      </c>
      <c r="B119" s="24" t="s">
        <v>823</v>
      </c>
      <c r="C119" s="24" t="s">
        <v>1334</v>
      </c>
      <c r="D119" s="25" t="n">
        <v>0.59</v>
      </c>
      <c r="E119" s="24" t="s">
        <v>989</v>
      </c>
      <c r="F119" s="24" t="s">
        <v>990</v>
      </c>
      <c r="G119" s="24" t="s">
        <v>1335</v>
      </c>
      <c r="H119" s="25" t="n">
        <v>2.95</v>
      </c>
      <c r="I119" s="24" t="s">
        <v>828</v>
      </c>
      <c r="J119" s="24" t="s">
        <v>829</v>
      </c>
      <c r="K119" s="24" t="s">
        <v>1336</v>
      </c>
      <c r="L119" s="24" t="s">
        <v>831</v>
      </c>
      <c r="M119" s="24"/>
    </row>
    <row r="120" customFormat="false" ht="15" hidden="false" customHeight="false" outlineLevel="0" collapsed="false">
      <c r="A120" s="24" t="s">
        <v>183</v>
      </c>
      <c r="B120" s="24" t="s">
        <v>833</v>
      </c>
      <c r="C120" s="24" t="s">
        <v>1337</v>
      </c>
      <c r="D120" s="25" t="n">
        <v>0.8</v>
      </c>
      <c r="E120" s="24" t="s">
        <v>1338</v>
      </c>
      <c r="F120" s="24" t="s">
        <v>1339</v>
      </c>
      <c r="G120" s="24" t="s">
        <v>1340</v>
      </c>
      <c r="H120" s="25" t="n">
        <v>5.63</v>
      </c>
      <c r="I120" s="24" t="s">
        <v>828</v>
      </c>
      <c r="J120" s="24" t="s">
        <v>829</v>
      </c>
      <c r="K120" s="24" t="s">
        <v>1341</v>
      </c>
      <c r="L120" s="24" t="s">
        <v>831</v>
      </c>
      <c r="M120" s="24" t="s">
        <v>1342</v>
      </c>
    </row>
    <row r="121" customFormat="false" ht="15" hidden="false" customHeight="false" outlineLevel="0" collapsed="false">
      <c r="A121" s="24" t="s">
        <v>183</v>
      </c>
      <c r="B121" s="24" t="s">
        <v>40</v>
      </c>
      <c r="C121" s="24" t="s">
        <v>1343</v>
      </c>
      <c r="D121" s="25" t="n">
        <v>0.59</v>
      </c>
      <c r="E121" s="24" t="s">
        <v>997</v>
      </c>
      <c r="F121" s="24" t="s">
        <v>990</v>
      </c>
      <c r="G121" s="24" t="s">
        <v>1335</v>
      </c>
      <c r="H121" s="25" t="n">
        <v>2.95</v>
      </c>
      <c r="I121" s="24" t="s">
        <v>828</v>
      </c>
      <c r="J121" s="24" t="s">
        <v>829</v>
      </c>
      <c r="K121" s="24" t="s">
        <v>1344</v>
      </c>
      <c r="L121" s="24" t="s">
        <v>831</v>
      </c>
      <c r="M121" s="24" t="s">
        <v>1118</v>
      </c>
    </row>
    <row r="122" customFormat="false" ht="15" hidden="false" customHeight="false" outlineLevel="0" collapsed="false">
      <c r="A122" s="24" t="s">
        <v>187</v>
      </c>
      <c r="B122" s="24" t="s">
        <v>823</v>
      </c>
      <c r="C122" s="24" t="s">
        <v>1345</v>
      </c>
      <c r="D122" s="25" t="n">
        <v>2</v>
      </c>
      <c r="E122" s="24" t="s">
        <v>1144</v>
      </c>
      <c r="F122" s="24" t="s">
        <v>954</v>
      </c>
      <c r="G122" s="24" t="s">
        <v>1346</v>
      </c>
      <c r="H122" s="25" t="n">
        <v>6.67</v>
      </c>
      <c r="I122" s="24" t="s">
        <v>828</v>
      </c>
      <c r="J122" s="24" t="s">
        <v>829</v>
      </c>
      <c r="K122" s="24" t="s">
        <v>1347</v>
      </c>
      <c r="L122" s="24" t="s">
        <v>831</v>
      </c>
      <c r="M122" s="24" t="s">
        <v>1348</v>
      </c>
    </row>
    <row r="123" customFormat="false" ht="15" hidden="false" customHeight="false" outlineLevel="0" collapsed="false">
      <c r="A123" s="24" t="s">
        <v>187</v>
      </c>
      <c r="B123" s="24" t="s">
        <v>833</v>
      </c>
      <c r="C123" s="24" t="s">
        <v>1349</v>
      </c>
      <c r="D123" s="25" t="n">
        <v>1.75</v>
      </c>
      <c r="E123" s="24" t="s">
        <v>989</v>
      </c>
      <c r="F123" s="24" t="s">
        <v>990</v>
      </c>
      <c r="G123" s="24" t="s">
        <v>1135</v>
      </c>
      <c r="H123" s="25" t="n">
        <v>8.75</v>
      </c>
      <c r="I123" s="24" t="s">
        <v>828</v>
      </c>
      <c r="J123" s="24" t="s">
        <v>829</v>
      </c>
      <c r="K123" s="24" t="s">
        <v>1350</v>
      </c>
      <c r="L123" s="24" t="s">
        <v>831</v>
      </c>
      <c r="M123" s="24" t="s">
        <v>1351</v>
      </c>
    </row>
    <row r="124" customFormat="false" ht="15" hidden="false" customHeight="false" outlineLevel="0" collapsed="false">
      <c r="A124" s="24" t="s">
        <v>187</v>
      </c>
      <c r="B124" s="24" t="s">
        <v>40</v>
      </c>
      <c r="C124" s="24" t="s">
        <v>1352</v>
      </c>
      <c r="D124" s="25" t="n">
        <v>1.75</v>
      </c>
      <c r="E124" s="24" t="s">
        <v>989</v>
      </c>
      <c r="F124" s="24" t="s">
        <v>990</v>
      </c>
      <c r="G124" s="24" t="s">
        <v>1135</v>
      </c>
      <c r="H124" s="25" t="n">
        <v>8.75</v>
      </c>
      <c r="I124" s="24" t="s">
        <v>828</v>
      </c>
      <c r="J124" s="24" t="s">
        <v>829</v>
      </c>
      <c r="K124" s="24" t="s">
        <v>1353</v>
      </c>
      <c r="L124" s="24" t="s">
        <v>831</v>
      </c>
      <c r="M124" s="24" t="s">
        <v>1354</v>
      </c>
    </row>
    <row r="125" customFormat="false" ht="15" hidden="false" customHeight="false" outlineLevel="0" collapsed="false">
      <c r="A125" s="24" t="s">
        <v>191</v>
      </c>
      <c r="B125" s="24" t="s">
        <v>823</v>
      </c>
      <c r="C125" s="24" t="s">
        <v>1355</v>
      </c>
      <c r="D125" s="25" t="n">
        <v>2</v>
      </c>
      <c r="E125" s="24" t="s">
        <v>1356</v>
      </c>
      <c r="F125" s="24" t="s">
        <v>1357</v>
      </c>
      <c r="G125" s="24" t="s">
        <v>1116</v>
      </c>
      <c r="H125" s="25" t="n">
        <v>4.44</v>
      </c>
      <c r="I125" s="24" t="s">
        <v>828</v>
      </c>
      <c r="J125" s="24" t="s">
        <v>829</v>
      </c>
      <c r="K125" s="24" t="s">
        <v>1358</v>
      </c>
      <c r="L125" s="24" t="s">
        <v>831</v>
      </c>
      <c r="M125" s="24"/>
    </row>
    <row r="126" customFormat="false" ht="15" hidden="false" customHeight="false" outlineLevel="0" collapsed="false">
      <c r="A126" s="24" t="s">
        <v>191</v>
      </c>
      <c r="B126" s="24" t="s">
        <v>833</v>
      </c>
      <c r="C126" s="24" t="s">
        <v>1359</v>
      </c>
      <c r="D126" s="25" t="n">
        <v>1.35</v>
      </c>
      <c r="E126" s="24" t="s">
        <v>1360</v>
      </c>
      <c r="F126" s="24" t="s">
        <v>884</v>
      </c>
      <c r="G126" s="24" t="s">
        <v>1361</v>
      </c>
      <c r="H126" s="25" t="n">
        <v>5.19</v>
      </c>
      <c r="I126" s="24" t="s">
        <v>828</v>
      </c>
      <c r="J126" s="24" t="s">
        <v>829</v>
      </c>
      <c r="K126" s="24" t="s">
        <v>1362</v>
      </c>
      <c r="L126" s="24" t="s">
        <v>831</v>
      </c>
      <c r="M126" s="24" t="s">
        <v>1363</v>
      </c>
    </row>
    <row r="127" customFormat="false" ht="15" hidden="false" customHeight="false" outlineLevel="0" collapsed="false">
      <c r="A127" s="24" t="s">
        <v>191</v>
      </c>
      <c r="B127" s="24" t="s">
        <v>40</v>
      </c>
      <c r="C127" s="24" t="s">
        <v>1364</v>
      </c>
      <c r="D127" s="25" t="n">
        <v>1.77</v>
      </c>
      <c r="E127" s="24" t="s">
        <v>920</v>
      </c>
      <c r="F127" s="24" t="s">
        <v>826</v>
      </c>
      <c r="G127" s="24" t="s">
        <v>1365</v>
      </c>
      <c r="H127" s="25" t="n">
        <v>3.54</v>
      </c>
      <c r="I127" s="24" t="s">
        <v>828</v>
      </c>
      <c r="J127" s="24" t="s">
        <v>829</v>
      </c>
      <c r="K127" s="24" t="s">
        <v>1366</v>
      </c>
      <c r="L127" s="24" t="s">
        <v>831</v>
      </c>
      <c r="M127" s="24" t="s">
        <v>1367</v>
      </c>
    </row>
    <row r="128" customFormat="false" ht="15" hidden="false" customHeight="false" outlineLevel="0" collapsed="false">
      <c r="A128" s="24" t="s">
        <v>195</v>
      </c>
      <c r="B128" s="24" t="s">
        <v>823</v>
      </c>
      <c r="C128" s="24" t="s">
        <v>1368</v>
      </c>
      <c r="D128" s="25" t="n">
        <v>2.75</v>
      </c>
      <c r="E128" s="24" t="s">
        <v>1144</v>
      </c>
      <c r="F128" s="24" t="s">
        <v>954</v>
      </c>
      <c r="G128" s="24" t="s">
        <v>1369</v>
      </c>
      <c r="H128" s="25" t="n">
        <v>9.17</v>
      </c>
      <c r="I128" s="24" t="s">
        <v>828</v>
      </c>
      <c r="J128" s="24" t="s">
        <v>829</v>
      </c>
      <c r="K128" s="24" t="s">
        <v>1370</v>
      </c>
      <c r="L128" s="24" t="s">
        <v>831</v>
      </c>
      <c r="M128" s="24" t="s">
        <v>1371</v>
      </c>
    </row>
    <row r="129" customFormat="false" ht="15" hidden="false" customHeight="false" outlineLevel="0" collapsed="false">
      <c r="A129" s="24" t="s">
        <v>195</v>
      </c>
      <c r="B129" s="24" t="s">
        <v>833</v>
      </c>
      <c r="C129" s="24" t="s">
        <v>1372</v>
      </c>
      <c r="D129" s="25" t="n">
        <v>2.75</v>
      </c>
      <c r="E129" s="24" t="s">
        <v>1144</v>
      </c>
      <c r="F129" s="24" t="s">
        <v>954</v>
      </c>
      <c r="G129" s="24" t="s">
        <v>1373</v>
      </c>
      <c r="H129" s="25" t="n">
        <v>9.17</v>
      </c>
      <c r="I129" s="24" t="s">
        <v>828</v>
      </c>
      <c r="J129" s="24" t="s">
        <v>829</v>
      </c>
      <c r="K129" s="24" t="s">
        <v>1374</v>
      </c>
      <c r="L129" s="24" t="s">
        <v>831</v>
      </c>
      <c r="M129" s="24" t="s">
        <v>1375</v>
      </c>
    </row>
    <row r="130" customFormat="false" ht="15" hidden="false" customHeight="false" outlineLevel="0" collapsed="false">
      <c r="A130" s="24" t="s">
        <v>195</v>
      </c>
      <c r="B130" s="24" t="s">
        <v>40</v>
      </c>
      <c r="C130" s="24" t="s">
        <v>1376</v>
      </c>
      <c r="D130" s="25" t="n">
        <v>2.75</v>
      </c>
      <c r="E130" s="24" t="s">
        <v>1257</v>
      </c>
      <c r="F130" s="24" t="s">
        <v>954</v>
      </c>
      <c r="G130" s="24" t="s">
        <v>1373</v>
      </c>
      <c r="H130" s="25" t="n">
        <v>9.17</v>
      </c>
      <c r="I130" s="24" t="s">
        <v>828</v>
      </c>
      <c r="J130" s="24" t="s">
        <v>829</v>
      </c>
      <c r="K130" s="24" t="s">
        <v>1377</v>
      </c>
      <c r="L130" s="24" t="s">
        <v>831</v>
      </c>
      <c r="M130" s="24" t="s">
        <v>1378</v>
      </c>
    </row>
    <row r="131" customFormat="false" ht="15" hidden="false" customHeight="false" outlineLevel="0" collapsed="false">
      <c r="A131" s="24" t="s">
        <v>488</v>
      </c>
      <c r="B131" s="24" t="s">
        <v>823</v>
      </c>
      <c r="C131" s="24" t="s">
        <v>1379</v>
      </c>
      <c r="D131" s="25" t="n">
        <v>0.89</v>
      </c>
      <c r="E131" s="24" t="s">
        <v>1380</v>
      </c>
      <c r="F131" s="24"/>
      <c r="G131" s="24" t="s">
        <v>1095</v>
      </c>
      <c r="H131" s="25" t="n">
        <v>0.98</v>
      </c>
      <c r="I131" s="24" t="s">
        <v>1381</v>
      </c>
      <c r="J131" s="24" t="s">
        <v>829</v>
      </c>
      <c r="K131" s="24" t="s">
        <v>1382</v>
      </c>
      <c r="L131" s="24" t="s">
        <v>831</v>
      </c>
      <c r="M131" s="24" t="s">
        <v>1383</v>
      </c>
    </row>
    <row r="132" customFormat="false" ht="15" hidden="false" customHeight="false" outlineLevel="0" collapsed="false">
      <c r="A132" s="24" t="s">
        <v>488</v>
      </c>
      <c r="B132" s="24" t="s">
        <v>833</v>
      </c>
      <c r="C132" s="24" t="s">
        <v>1384</v>
      </c>
      <c r="D132" s="25" t="n">
        <v>0.89</v>
      </c>
      <c r="E132" s="24" t="s">
        <v>1100</v>
      </c>
      <c r="F132" s="24"/>
      <c r="G132" s="24" t="s">
        <v>1385</v>
      </c>
      <c r="H132" s="25" t="n">
        <v>0.98</v>
      </c>
      <c r="I132" s="24" t="s">
        <v>1381</v>
      </c>
      <c r="J132" s="24" t="s">
        <v>829</v>
      </c>
      <c r="K132" s="24" t="s">
        <v>1386</v>
      </c>
      <c r="L132" s="24" t="s">
        <v>831</v>
      </c>
      <c r="M132" s="24" t="s">
        <v>1267</v>
      </c>
    </row>
    <row r="133" customFormat="false" ht="15" hidden="false" customHeight="false" outlineLevel="0" collapsed="false">
      <c r="A133" s="24" t="s">
        <v>488</v>
      </c>
      <c r="B133" s="24" t="s">
        <v>40</v>
      </c>
      <c r="C133" s="24" t="s">
        <v>1387</v>
      </c>
      <c r="D133" s="25" t="n">
        <v>0.89</v>
      </c>
      <c r="E133" s="24" t="s">
        <v>1100</v>
      </c>
      <c r="F133" s="24"/>
      <c r="G133" s="24" t="s">
        <v>1105</v>
      </c>
      <c r="H133" s="25" t="n">
        <v>0.98</v>
      </c>
      <c r="I133" s="24" t="s">
        <v>1381</v>
      </c>
      <c r="J133" s="24" t="s">
        <v>829</v>
      </c>
      <c r="K133" s="24" t="s">
        <v>1388</v>
      </c>
      <c r="L133" s="24" t="s">
        <v>831</v>
      </c>
      <c r="M133" s="24" t="s">
        <v>1389</v>
      </c>
    </row>
    <row r="134" customFormat="false" ht="15" hidden="false" customHeight="false" outlineLevel="0" collapsed="false">
      <c r="A134" s="24" t="s">
        <v>199</v>
      </c>
      <c r="B134" s="24" t="s">
        <v>823</v>
      </c>
      <c r="C134" s="24" t="s">
        <v>1390</v>
      </c>
      <c r="D134" s="25" t="n">
        <v>1.37</v>
      </c>
      <c r="E134" s="24" t="s">
        <v>825</v>
      </c>
      <c r="F134" s="24" t="s">
        <v>826</v>
      </c>
      <c r="G134" s="24" t="s">
        <v>1391</v>
      </c>
      <c r="H134" s="25" t="n">
        <v>2.74</v>
      </c>
      <c r="I134" s="24" t="s">
        <v>828</v>
      </c>
      <c r="J134" s="24" t="s">
        <v>829</v>
      </c>
      <c r="K134" s="24" t="s">
        <v>1392</v>
      </c>
      <c r="L134" s="24" t="s">
        <v>831</v>
      </c>
      <c r="M134" s="24"/>
    </row>
    <row r="135" customFormat="false" ht="15" hidden="false" customHeight="false" outlineLevel="0" collapsed="false">
      <c r="A135" s="24" t="s">
        <v>199</v>
      </c>
      <c r="B135" s="24" t="s">
        <v>833</v>
      </c>
      <c r="C135" s="24" t="s">
        <v>1393</v>
      </c>
      <c r="D135" s="25" t="n">
        <v>1.37</v>
      </c>
      <c r="E135" s="24" t="s">
        <v>825</v>
      </c>
      <c r="F135" s="24" t="s">
        <v>826</v>
      </c>
      <c r="G135" s="24" t="s">
        <v>1391</v>
      </c>
      <c r="H135" s="25" t="n">
        <v>2.74</v>
      </c>
      <c r="I135" s="24" t="s">
        <v>828</v>
      </c>
      <c r="J135" s="24" t="s">
        <v>829</v>
      </c>
      <c r="K135" s="24" t="s">
        <v>1394</v>
      </c>
      <c r="L135" s="24" t="s">
        <v>831</v>
      </c>
      <c r="M135" s="24" t="s">
        <v>852</v>
      </c>
    </row>
    <row r="136" customFormat="false" ht="15" hidden="false" customHeight="false" outlineLevel="0" collapsed="false">
      <c r="A136" s="24" t="s">
        <v>199</v>
      </c>
      <c r="B136" s="24" t="s">
        <v>40</v>
      </c>
      <c r="C136" s="24" t="s">
        <v>1395</v>
      </c>
      <c r="D136" s="25" t="n">
        <v>1.37</v>
      </c>
      <c r="E136" s="24" t="s">
        <v>920</v>
      </c>
      <c r="F136" s="24" t="s">
        <v>826</v>
      </c>
      <c r="G136" s="24" t="s">
        <v>1391</v>
      </c>
      <c r="H136" s="25" t="n">
        <v>2.74</v>
      </c>
      <c r="I136" s="24" t="s">
        <v>828</v>
      </c>
      <c r="J136" s="24" t="s">
        <v>829</v>
      </c>
      <c r="K136" s="24" t="s">
        <v>1396</v>
      </c>
      <c r="L136" s="24" t="s">
        <v>831</v>
      </c>
      <c r="M136" s="24" t="s">
        <v>1397</v>
      </c>
    </row>
    <row r="137" customFormat="false" ht="15" hidden="false" customHeight="false" outlineLevel="0" collapsed="false">
      <c r="A137" s="24" t="s">
        <v>203</v>
      </c>
      <c r="B137" s="24" t="s">
        <v>823</v>
      </c>
      <c r="C137" s="24" t="s">
        <v>1398</v>
      </c>
      <c r="D137" s="25" t="n">
        <v>0.9</v>
      </c>
      <c r="E137" s="24" t="s">
        <v>1023</v>
      </c>
      <c r="F137" s="24" t="s">
        <v>1024</v>
      </c>
      <c r="G137" s="24" t="s">
        <v>1399</v>
      </c>
      <c r="H137" s="25" t="n">
        <v>3.6</v>
      </c>
      <c r="I137" s="24" t="s">
        <v>828</v>
      </c>
      <c r="J137" s="24" t="s">
        <v>829</v>
      </c>
      <c r="K137" s="24" t="s">
        <v>1400</v>
      </c>
      <c r="L137" s="24" t="s">
        <v>831</v>
      </c>
      <c r="M137" s="24" t="s">
        <v>1401</v>
      </c>
    </row>
    <row r="138" customFormat="false" ht="15" hidden="false" customHeight="false" outlineLevel="0" collapsed="false">
      <c r="A138" s="24" t="s">
        <v>203</v>
      </c>
      <c r="B138" s="24" t="s">
        <v>833</v>
      </c>
      <c r="C138" s="24" t="s">
        <v>1402</v>
      </c>
      <c r="D138" s="25" t="n">
        <v>0.9</v>
      </c>
      <c r="E138" s="24" t="s">
        <v>1023</v>
      </c>
      <c r="F138" s="24" t="s">
        <v>1024</v>
      </c>
      <c r="G138" s="24" t="s">
        <v>1399</v>
      </c>
      <c r="H138" s="25" t="n">
        <v>3.6</v>
      </c>
      <c r="I138" s="24" t="s">
        <v>828</v>
      </c>
      <c r="J138" s="24" t="s">
        <v>829</v>
      </c>
      <c r="K138" s="24" t="s">
        <v>1403</v>
      </c>
      <c r="L138" s="24" t="s">
        <v>831</v>
      </c>
      <c r="M138" s="24" t="s">
        <v>1401</v>
      </c>
    </row>
    <row r="139" customFormat="false" ht="15" hidden="false" customHeight="false" outlineLevel="0" collapsed="false">
      <c r="A139" s="24" t="s">
        <v>203</v>
      </c>
      <c r="B139" s="24" t="s">
        <v>40</v>
      </c>
      <c r="C139" s="24" t="s">
        <v>1404</v>
      </c>
      <c r="D139" s="25" t="n">
        <v>0.9</v>
      </c>
      <c r="E139" s="24" t="s">
        <v>1023</v>
      </c>
      <c r="F139" s="24" t="s">
        <v>1024</v>
      </c>
      <c r="G139" s="24" t="s">
        <v>1399</v>
      </c>
      <c r="H139" s="25" t="n">
        <v>3.6</v>
      </c>
      <c r="I139" s="24" t="s">
        <v>828</v>
      </c>
      <c r="J139" s="24" t="s">
        <v>829</v>
      </c>
      <c r="K139" s="24" t="s">
        <v>1405</v>
      </c>
      <c r="L139" s="24" t="s">
        <v>831</v>
      </c>
      <c r="M139" s="24" t="s">
        <v>1401</v>
      </c>
    </row>
    <row r="140" customFormat="false" ht="15" hidden="false" customHeight="false" outlineLevel="0" collapsed="false">
      <c r="A140" s="24" t="s">
        <v>207</v>
      </c>
      <c r="B140" s="24" t="s">
        <v>823</v>
      </c>
      <c r="C140" s="24" t="s">
        <v>1406</v>
      </c>
      <c r="D140" s="25" t="n">
        <v>2.1</v>
      </c>
      <c r="E140" s="24" t="s">
        <v>825</v>
      </c>
      <c r="F140" s="24" t="s">
        <v>826</v>
      </c>
      <c r="G140" s="24" t="s">
        <v>1060</v>
      </c>
      <c r="H140" s="25" t="n">
        <v>4.2</v>
      </c>
      <c r="I140" s="24" t="s">
        <v>828</v>
      </c>
      <c r="J140" s="24" t="s">
        <v>829</v>
      </c>
      <c r="K140" s="24" t="s">
        <v>1407</v>
      </c>
      <c r="L140" s="24" t="s">
        <v>831</v>
      </c>
      <c r="M140" s="24"/>
    </row>
    <row r="141" customFormat="false" ht="15" hidden="false" customHeight="false" outlineLevel="0" collapsed="false">
      <c r="A141" s="24" t="s">
        <v>207</v>
      </c>
      <c r="B141" s="24" t="s">
        <v>833</v>
      </c>
      <c r="C141" s="24" t="s">
        <v>1408</v>
      </c>
      <c r="D141" s="25" t="n">
        <v>2.1</v>
      </c>
      <c r="E141" s="24" t="s">
        <v>825</v>
      </c>
      <c r="F141" s="24" t="s">
        <v>826</v>
      </c>
      <c r="G141" s="24" t="s">
        <v>1060</v>
      </c>
      <c r="H141" s="25" t="n">
        <v>4.2</v>
      </c>
      <c r="I141" s="24" t="s">
        <v>828</v>
      </c>
      <c r="J141" s="24" t="s">
        <v>829</v>
      </c>
      <c r="K141" s="24" t="s">
        <v>1409</v>
      </c>
      <c r="L141" s="24" t="s">
        <v>831</v>
      </c>
      <c r="M141" s="24" t="s">
        <v>1410</v>
      </c>
    </row>
    <row r="142" customFormat="false" ht="15" hidden="false" customHeight="false" outlineLevel="0" collapsed="false">
      <c r="A142" s="24" t="s">
        <v>207</v>
      </c>
      <c r="B142" s="24" t="s">
        <v>40</v>
      </c>
      <c r="C142" s="24" t="s">
        <v>1411</v>
      </c>
      <c r="D142" s="25" t="n">
        <v>2.1</v>
      </c>
      <c r="E142" s="24" t="s">
        <v>920</v>
      </c>
      <c r="F142" s="24" t="s">
        <v>826</v>
      </c>
      <c r="G142" s="24" t="s">
        <v>1060</v>
      </c>
      <c r="H142" s="25" t="n">
        <v>4.2</v>
      </c>
      <c r="I142" s="24" t="s">
        <v>828</v>
      </c>
      <c r="J142" s="24" t="s">
        <v>829</v>
      </c>
      <c r="K142" s="24" t="s">
        <v>1412</v>
      </c>
      <c r="L142" s="24" t="s">
        <v>831</v>
      </c>
      <c r="M142" s="24" t="s">
        <v>1413</v>
      </c>
    </row>
    <row r="143" customFormat="false" ht="15" hidden="false" customHeight="false" outlineLevel="0" collapsed="false">
      <c r="A143" s="24" t="s">
        <v>671</v>
      </c>
      <c r="B143" s="24" t="s">
        <v>823</v>
      </c>
      <c r="C143" s="24" t="s">
        <v>1414</v>
      </c>
      <c r="D143" s="25" t="n">
        <v>0.37</v>
      </c>
      <c r="E143" s="24" t="s">
        <v>1415</v>
      </c>
      <c r="F143" s="24" t="s">
        <v>1416</v>
      </c>
      <c r="G143" s="24" t="s">
        <v>1417</v>
      </c>
      <c r="H143" s="25" t="n">
        <v>1.54</v>
      </c>
      <c r="I143" s="24" t="s">
        <v>828</v>
      </c>
      <c r="J143" s="24" t="s">
        <v>829</v>
      </c>
      <c r="K143" s="24" t="s">
        <v>1418</v>
      </c>
      <c r="L143" s="24" t="s">
        <v>831</v>
      </c>
      <c r="M143" s="24" t="s">
        <v>1419</v>
      </c>
    </row>
    <row r="144" customFormat="false" ht="15" hidden="false" customHeight="false" outlineLevel="0" collapsed="false">
      <c r="A144" s="24" t="s">
        <v>671</v>
      </c>
      <c r="B144" s="24" t="s">
        <v>833</v>
      </c>
      <c r="C144" s="24" t="s">
        <v>1420</v>
      </c>
      <c r="D144" s="25" t="n">
        <v>0.39</v>
      </c>
      <c r="E144" s="24" t="s">
        <v>1421</v>
      </c>
      <c r="F144" s="24" t="s">
        <v>1416</v>
      </c>
      <c r="G144" s="24" t="s">
        <v>1422</v>
      </c>
      <c r="H144" s="25" t="n">
        <v>1.63</v>
      </c>
      <c r="I144" s="24" t="s">
        <v>828</v>
      </c>
      <c r="J144" s="24" t="s">
        <v>829</v>
      </c>
      <c r="K144" s="24" t="s">
        <v>1423</v>
      </c>
      <c r="L144" s="24" t="s">
        <v>831</v>
      </c>
      <c r="M144" s="24" t="s">
        <v>1424</v>
      </c>
    </row>
    <row r="145" customFormat="false" ht="15" hidden="false" customHeight="false" outlineLevel="0" collapsed="false">
      <c r="A145" s="24" t="s">
        <v>671</v>
      </c>
      <c r="B145" s="24" t="s">
        <v>40</v>
      </c>
      <c r="C145" s="24" t="s">
        <v>1425</v>
      </c>
      <c r="D145" s="25" t="n">
        <v>0.39</v>
      </c>
      <c r="E145" s="24" t="s">
        <v>1415</v>
      </c>
      <c r="F145" s="24" t="s">
        <v>1416</v>
      </c>
      <c r="G145" s="24" t="s">
        <v>1426</v>
      </c>
      <c r="H145" s="25" t="n">
        <v>1.63</v>
      </c>
      <c r="I145" s="24" t="s">
        <v>828</v>
      </c>
      <c r="J145" s="24" t="s">
        <v>829</v>
      </c>
      <c r="K145" s="24" t="s">
        <v>1427</v>
      </c>
      <c r="L145" s="24" t="s">
        <v>831</v>
      </c>
      <c r="M145" s="24" t="s">
        <v>1428</v>
      </c>
    </row>
    <row r="146" customFormat="false" ht="15" hidden="false" customHeight="false" outlineLevel="0" collapsed="false">
      <c r="A146" s="24" t="s">
        <v>675</v>
      </c>
      <c r="B146" s="24" t="s">
        <v>823</v>
      </c>
      <c r="C146" s="24" t="s">
        <v>1429</v>
      </c>
      <c r="D146" s="25" t="n">
        <v>0.37</v>
      </c>
      <c r="E146" s="24" t="s">
        <v>1415</v>
      </c>
      <c r="F146" s="24" t="s">
        <v>1416</v>
      </c>
      <c r="G146" s="24" t="s">
        <v>1417</v>
      </c>
      <c r="H146" s="25" t="n">
        <v>1.54</v>
      </c>
      <c r="I146" s="24" t="s">
        <v>828</v>
      </c>
      <c r="J146" s="24" t="s">
        <v>829</v>
      </c>
      <c r="K146" s="24" t="s">
        <v>1430</v>
      </c>
      <c r="L146" s="24" t="s">
        <v>831</v>
      </c>
      <c r="M146" s="24" t="s">
        <v>1431</v>
      </c>
    </row>
    <row r="147" customFormat="false" ht="15" hidden="false" customHeight="false" outlineLevel="0" collapsed="false">
      <c r="A147" s="24" t="s">
        <v>675</v>
      </c>
      <c r="B147" s="24" t="s">
        <v>833</v>
      </c>
      <c r="C147" s="24" t="s">
        <v>1432</v>
      </c>
      <c r="D147" s="25" t="n">
        <v>0.41</v>
      </c>
      <c r="E147" s="24" t="s">
        <v>1421</v>
      </c>
      <c r="F147" s="24" t="s">
        <v>1416</v>
      </c>
      <c r="G147" s="24" t="s">
        <v>1433</v>
      </c>
      <c r="H147" s="25" t="n">
        <v>1.71</v>
      </c>
      <c r="I147" s="24" t="s">
        <v>828</v>
      </c>
      <c r="J147" s="24" t="s">
        <v>829</v>
      </c>
      <c r="K147" s="24" t="s">
        <v>1434</v>
      </c>
      <c r="L147" s="24" t="s">
        <v>831</v>
      </c>
      <c r="M147" s="24" t="s">
        <v>1435</v>
      </c>
    </row>
    <row r="148" customFormat="false" ht="15" hidden="false" customHeight="false" outlineLevel="0" collapsed="false">
      <c r="A148" s="24" t="s">
        <v>675</v>
      </c>
      <c r="B148" s="24" t="s">
        <v>40</v>
      </c>
      <c r="C148" s="24" t="s">
        <v>1436</v>
      </c>
      <c r="D148" s="25" t="n">
        <v>0.41</v>
      </c>
      <c r="E148" s="24" t="s">
        <v>1415</v>
      </c>
      <c r="F148" s="24" t="s">
        <v>1416</v>
      </c>
      <c r="G148" s="24" t="s">
        <v>1437</v>
      </c>
      <c r="H148" s="25" t="n">
        <v>1.71</v>
      </c>
      <c r="I148" s="24" t="s">
        <v>828</v>
      </c>
      <c r="J148" s="24" t="s">
        <v>829</v>
      </c>
      <c r="K148" s="24" t="s">
        <v>1438</v>
      </c>
      <c r="L148" s="24" t="s">
        <v>831</v>
      </c>
      <c r="M148" s="24" t="s">
        <v>1439</v>
      </c>
    </row>
    <row r="149" customFormat="false" ht="15" hidden="false" customHeight="false" outlineLevel="0" collapsed="false">
      <c r="A149" s="24" t="s">
        <v>209</v>
      </c>
      <c r="B149" s="24" t="s">
        <v>823</v>
      </c>
      <c r="C149" s="24" t="s">
        <v>1440</v>
      </c>
      <c r="D149" s="25" t="n">
        <v>0.7</v>
      </c>
      <c r="E149" s="24" t="s">
        <v>1441</v>
      </c>
      <c r="F149" s="24" t="s">
        <v>1442</v>
      </c>
      <c r="G149" s="24" t="s">
        <v>1443</v>
      </c>
      <c r="H149" s="25" t="n">
        <v>23.33</v>
      </c>
      <c r="I149" s="24" t="s">
        <v>828</v>
      </c>
      <c r="J149" s="24" t="s">
        <v>829</v>
      </c>
      <c r="K149" s="24" t="s">
        <v>1444</v>
      </c>
      <c r="L149" s="24" t="s">
        <v>831</v>
      </c>
      <c r="M149" s="24"/>
    </row>
    <row r="150" customFormat="false" ht="15" hidden="false" customHeight="false" outlineLevel="0" collapsed="false">
      <c r="A150" s="24" t="s">
        <v>209</v>
      </c>
      <c r="B150" s="24" t="s">
        <v>833</v>
      </c>
      <c r="C150" s="24" t="s">
        <v>1445</v>
      </c>
      <c r="D150" s="25" t="n">
        <v>0.5</v>
      </c>
      <c r="E150" s="24" t="s">
        <v>1441</v>
      </c>
      <c r="F150" s="24" t="s">
        <v>1442</v>
      </c>
      <c r="G150" s="24" t="s">
        <v>1446</v>
      </c>
      <c r="H150" s="25" t="n">
        <v>16.67</v>
      </c>
      <c r="I150" s="24" t="s">
        <v>828</v>
      </c>
      <c r="J150" s="24" t="s">
        <v>829</v>
      </c>
      <c r="K150" s="24" t="s">
        <v>1447</v>
      </c>
      <c r="L150" s="24" t="s">
        <v>831</v>
      </c>
      <c r="M150" s="24"/>
    </row>
    <row r="151" customFormat="false" ht="15" hidden="false" customHeight="false" outlineLevel="0" collapsed="false">
      <c r="A151" s="24" t="s">
        <v>209</v>
      </c>
      <c r="B151" s="24" t="s">
        <v>40</v>
      </c>
      <c r="C151" s="24" t="s">
        <v>1448</v>
      </c>
      <c r="D151" s="25" t="n">
        <v>0.5</v>
      </c>
      <c r="E151" s="24" t="s">
        <v>1449</v>
      </c>
      <c r="F151" s="24" t="s">
        <v>1442</v>
      </c>
      <c r="G151" s="24" t="s">
        <v>1446</v>
      </c>
      <c r="H151" s="25" t="n">
        <v>16.67</v>
      </c>
      <c r="I151" s="24" t="s">
        <v>828</v>
      </c>
      <c r="J151" s="24" t="s">
        <v>829</v>
      </c>
      <c r="K151" s="24" t="s">
        <v>1450</v>
      </c>
      <c r="L151" s="24" t="s">
        <v>831</v>
      </c>
      <c r="M151" s="24" t="s">
        <v>963</v>
      </c>
    </row>
    <row r="152" customFormat="false" ht="15" hidden="false" customHeight="false" outlineLevel="0" collapsed="false">
      <c r="A152" s="24" t="s">
        <v>213</v>
      </c>
      <c r="B152" s="24" t="s">
        <v>823</v>
      </c>
      <c r="C152" s="24" t="s">
        <v>1451</v>
      </c>
      <c r="D152" s="25" t="n">
        <v>1.09</v>
      </c>
      <c r="E152" s="24" t="s">
        <v>1452</v>
      </c>
      <c r="F152" s="24" t="s">
        <v>1453</v>
      </c>
      <c r="G152" s="24" t="s">
        <v>1454</v>
      </c>
      <c r="H152" s="25" t="n">
        <v>28.68</v>
      </c>
      <c r="I152" s="24" t="s">
        <v>828</v>
      </c>
      <c r="J152" s="24" t="s">
        <v>829</v>
      </c>
      <c r="K152" s="24" t="s">
        <v>1455</v>
      </c>
      <c r="L152" s="24" t="s">
        <v>831</v>
      </c>
      <c r="M152" s="24"/>
    </row>
    <row r="153" customFormat="false" ht="15" hidden="false" customHeight="false" outlineLevel="0" collapsed="false">
      <c r="A153" s="24" t="s">
        <v>213</v>
      </c>
      <c r="B153" s="24" t="s">
        <v>833</v>
      </c>
      <c r="C153" s="24" t="s">
        <v>1456</v>
      </c>
      <c r="D153" s="25" t="n">
        <v>1.15</v>
      </c>
      <c r="E153" s="24" t="s">
        <v>1452</v>
      </c>
      <c r="F153" s="24" t="s">
        <v>1453</v>
      </c>
      <c r="G153" s="24" t="s">
        <v>1457</v>
      </c>
      <c r="H153" s="25" t="n">
        <v>30.26</v>
      </c>
      <c r="I153" s="24" t="s">
        <v>828</v>
      </c>
      <c r="J153" s="24" t="s">
        <v>829</v>
      </c>
      <c r="K153" s="24" t="s">
        <v>1458</v>
      </c>
      <c r="L153" s="24" t="s">
        <v>831</v>
      </c>
      <c r="M153" s="24" t="s">
        <v>1459</v>
      </c>
    </row>
    <row r="154" customFormat="false" ht="15" hidden="false" customHeight="false" outlineLevel="0" collapsed="false">
      <c r="A154" s="24" t="s">
        <v>213</v>
      </c>
      <c r="B154" s="24" t="s">
        <v>40</v>
      </c>
      <c r="C154" s="24" t="s">
        <v>1460</v>
      </c>
      <c r="D154" s="25" t="n">
        <v>1</v>
      </c>
      <c r="E154" s="24" t="s">
        <v>1461</v>
      </c>
      <c r="F154" s="24" t="s">
        <v>1453</v>
      </c>
      <c r="G154" s="24" t="s">
        <v>1462</v>
      </c>
      <c r="H154" s="25" t="n">
        <v>26.32</v>
      </c>
      <c r="I154" s="24" t="s">
        <v>828</v>
      </c>
      <c r="J154" s="24" t="s">
        <v>829</v>
      </c>
      <c r="K154" s="24" t="s">
        <v>1463</v>
      </c>
      <c r="L154" s="24" t="s">
        <v>831</v>
      </c>
      <c r="M154" s="24"/>
    </row>
    <row r="155" customFormat="false" ht="15" hidden="false" customHeight="false" outlineLevel="0" collapsed="false">
      <c r="A155" s="24" t="s">
        <v>217</v>
      </c>
      <c r="B155" s="24" t="s">
        <v>823</v>
      </c>
      <c r="C155" s="24" t="s">
        <v>1464</v>
      </c>
      <c r="D155" s="25" t="n">
        <v>1.25</v>
      </c>
      <c r="E155" s="24" t="s">
        <v>1209</v>
      </c>
      <c r="F155" s="24" t="s">
        <v>1204</v>
      </c>
      <c r="G155" s="24" t="s">
        <v>1465</v>
      </c>
      <c r="H155" s="25" t="n">
        <v>12.5</v>
      </c>
      <c r="I155" s="24" t="s">
        <v>828</v>
      </c>
      <c r="J155" s="24" t="s">
        <v>829</v>
      </c>
      <c r="K155" s="24" t="s">
        <v>1466</v>
      </c>
      <c r="L155" s="24" t="s">
        <v>831</v>
      </c>
      <c r="M155" s="24" t="s">
        <v>1467</v>
      </c>
    </row>
    <row r="156" customFormat="false" ht="15" hidden="false" customHeight="false" outlineLevel="0" collapsed="false">
      <c r="A156" s="24" t="s">
        <v>217</v>
      </c>
      <c r="B156" s="24" t="s">
        <v>833</v>
      </c>
      <c r="C156" s="24" t="s">
        <v>1468</v>
      </c>
      <c r="D156" s="25" t="n">
        <v>1.3</v>
      </c>
      <c r="E156" s="24" t="s">
        <v>1209</v>
      </c>
      <c r="F156" s="24" t="s">
        <v>1204</v>
      </c>
      <c r="G156" s="24" t="s">
        <v>1469</v>
      </c>
      <c r="H156" s="25" t="n">
        <v>13</v>
      </c>
      <c r="I156" s="24" t="s">
        <v>828</v>
      </c>
      <c r="J156" s="24" t="s">
        <v>829</v>
      </c>
      <c r="K156" s="24" t="s">
        <v>1470</v>
      </c>
      <c r="L156" s="24" t="s">
        <v>831</v>
      </c>
      <c r="M156" s="24" t="s">
        <v>1471</v>
      </c>
    </row>
    <row r="157" customFormat="false" ht="15" hidden="false" customHeight="false" outlineLevel="0" collapsed="false">
      <c r="A157" s="24" t="s">
        <v>217</v>
      </c>
      <c r="B157" s="24" t="s">
        <v>40</v>
      </c>
      <c r="C157" s="24" t="s">
        <v>1472</v>
      </c>
      <c r="D157" s="25" t="n">
        <v>1</v>
      </c>
      <c r="E157" s="24" t="s">
        <v>1473</v>
      </c>
      <c r="F157" s="24" t="s">
        <v>1474</v>
      </c>
      <c r="G157" s="24" t="s">
        <v>1475</v>
      </c>
      <c r="H157" s="25" t="n">
        <v>22.22</v>
      </c>
      <c r="I157" s="24" t="s">
        <v>828</v>
      </c>
      <c r="J157" s="24" t="s">
        <v>829</v>
      </c>
      <c r="K157" s="24" t="s">
        <v>1476</v>
      </c>
      <c r="L157" s="24" t="s">
        <v>831</v>
      </c>
      <c r="M157" s="24"/>
    </row>
    <row r="158" customFormat="false" ht="15" hidden="false" customHeight="false" outlineLevel="0" collapsed="false">
      <c r="A158" s="24" t="s">
        <v>221</v>
      </c>
      <c r="B158" s="24" t="s">
        <v>823</v>
      </c>
      <c r="C158" s="24" t="s">
        <v>1477</v>
      </c>
      <c r="D158" s="25" t="n">
        <v>1.09</v>
      </c>
      <c r="E158" s="24" t="s">
        <v>1478</v>
      </c>
      <c r="F158" s="24" t="s">
        <v>1479</v>
      </c>
      <c r="G158" s="24" t="s">
        <v>1480</v>
      </c>
      <c r="H158" s="25" t="n">
        <v>34.06</v>
      </c>
      <c r="I158" s="24" t="s">
        <v>828</v>
      </c>
      <c r="J158" s="24" t="s">
        <v>829</v>
      </c>
      <c r="K158" s="24" t="s">
        <v>1481</v>
      </c>
      <c r="L158" s="24" t="s">
        <v>831</v>
      </c>
      <c r="M158" s="24" t="s">
        <v>1482</v>
      </c>
    </row>
    <row r="159" customFormat="false" ht="15" hidden="false" customHeight="false" outlineLevel="0" collapsed="false">
      <c r="A159" s="24" t="s">
        <v>221</v>
      </c>
      <c r="B159" s="24" t="s">
        <v>833</v>
      </c>
      <c r="C159" s="24" t="s">
        <v>1483</v>
      </c>
      <c r="D159" s="25" t="n">
        <v>1.15</v>
      </c>
      <c r="E159" s="24" t="s">
        <v>1452</v>
      </c>
      <c r="F159" s="24" t="s">
        <v>1453</v>
      </c>
      <c r="G159" s="24" t="s">
        <v>1484</v>
      </c>
      <c r="H159" s="25" t="n">
        <v>30.26</v>
      </c>
      <c r="I159" s="24" t="s">
        <v>828</v>
      </c>
      <c r="J159" s="24" t="s">
        <v>829</v>
      </c>
      <c r="K159" s="24" t="s">
        <v>1485</v>
      </c>
      <c r="L159" s="24" t="s">
        <v>831</v>
      </c>
      <c r="M159" s="24" t="s">
        <v>1486</v>
      </c>
    </row>
    <row r="160" customFormat="false" ht="15" hidden="false" customHeight="false" outlineLevel="0" collapsed="false">
      <c r="A160" s="24" t="s">
        <v>221</v>
      </c>
      <c r="B160" s="24" t="s">
        <v>40</v>
      </c>
      <c r="C160" s="24" t="s">
        <v>1487</v>
      </c>
      <c r="D160" s="25" t="n">
        <v>1</v>
      </c>
      <c r="E160" s="24" t="s">
        <v>1461</v>
      </c>
      <c r="F160" s="24" t="s">
        <v>1453</v>
      </c>
      <c r="G160" s="24" t="s">
        <v>1462</v>
      </c>
      <c r="H160" s="25" t="n">
        <v>26.32</v>
      </c>
      <c r="I160" s="24" t="s">
        <v>828</v>
      </c>
      <c r="J160" s="24" t="s">
        <v>829</v>
      </c>
      <c r="K160" s="24" t="s">
        <v>1488</v>
      </c>
      <c r="L160" s="24" t="s">
        <v>831</v>
      </c>
      <c r="M160" s="24"/>
    </row>
    <row r="161" customFormat="false" ht="15" hidden="false" customHeight="false" outlineLevel="0" collapsed="false">
      <c r="A161" s="24" t="s">
        <v>225</v>
      </c>
      <c r="B161" s="24" t="s">
        <v>823</v>
      </c>
      <c r="C161" s="24" t="s">
        <v>1489</v>
      </c>
      <c r="D161" s="25" t="n">
        <v>0.6</v>
      </c>
      <c r="E161" s="24" t="s">
        <v>1441</v>
      </c>
      <c r="F161" s="24" t="s">
        <v>1442</v>
      </c>
      <c r="G161" s="24" t="s">
        <v>1490</v>
      </c>
      <c r="H161" s="25" t="n">
        <v>20</v>
      </c>
      <c r="I161" s="24" t="s">
        <v>828</v>
      </c>
      <c r="J161" s="24" t="s">
        <v>829</v>
      </c>
      <c r="K161" s="24" t="s">
        <v>1491</v>
      </c>
      <c r="L161" s="24" t="s">
        <v>831</v>
      </c>
      <c r="M161" s="24"/>
    </row>
    <row r="162" customFormat="false" ht="15" hidden="false" customHeight="false" outlineLevel="0" collapsed="false">
      <c r="A162" s="24" t="s">
        <v>225</v>
      </c>
      <c r="B162" s="24" t="s">
        <v>833</v>
      </c>
      <c r="C162" s="24" t="s">
        <v>1492</v>
      </c>
      <c r="D162" s="25" t="n">
        <v>0.5</v>
      </c>
      <c r="E162" s="24" t="s">
        <v>1441</v>
      </c>
      <c r="F162" s="24" t="s">
        <v>1442</v>
      </c>
      <c r="G162" s="24" t="s">
        <v>1446</v>
      </c>
      <c r="H162" s="25" t="n">
        <v>16.67</v>
      </c>
      <c r="I162" s="24" t="s">
        <v>828</v>
      </c>
      <c r="J162" s="24" t="s">
        <v>829</v>
      </c>
      <c r="K162" s="24" t="s">
        <v>1493</v>
      </c>
      <c r="L162" s="24" t="s">
        <v>831</v>
      </c>
      <c r="M162" s="24"/>
    </row>
    <row r="163" customFormat="false" ht="15" hidden="false" customHeight="false" outlineLevel="0" collapsed="false">
      <c r="A163" s="24" t="s">
        <v>225</v>
      </c>
      <c r="B163" s="24" t="s">
        <v>40</v>
      </c>
      <c r="C163" s="24" t="s">
        <v>1494</v>
      </c>
      <c r="D163" s="25" t="n">
        <v>0.5</v>
      </c>
      <c r="E163" s="24" t="s">
        <v>1449</v>
      </c>
      <c r="F163" s="24" t="s">
        <v>1442</v>
      </c>
      <c r="G163" s="24" t="s">
        <v>1446</v>
      </c>
      <c r="H163" s="25" t="n">
        <v>16.67</v>
      </c>
      <c r="I163" s="24" t="s">
        <v>828</v>
      </c>
      <c r="J163" s="24" t="s">
        <v>829</v>
      </c>
      <c r="K163" s="24" t="s">
        <v>1495</v>
      </c>
      <c r="L163" s="24" t="s">
        <v>831</v>
      </c>
      <c r="M163" s="24" t="s">
        <v>1496</v>
      </c>
    </row>
    <row r="164" customFormat="false" ht="15" hidden="false" customHeight="false" outlineLevel="0" collapsed="false">
      <c r="A164" s="24" t="s">
        <v>229</v>
      </c>
      <c r="B164" s="24" t="s">
        <v>823</v>
      </c>
      <c r="C164" s="24" t="s">
        <v>1497</v>
      </c>
      <c r="D164" s="25" t="n">
        <v>0.6</v>
      </c>
      <c r="E164" s="24" t="s">
        <v>1441</v>
      </c>
      <c r="F164" s="24" t="s">
        <v>1442</v>
      </c>
      <c r="G164" s="24" t="s">
        <v>1490</v>
      </c>
      <c r="H164" s="25" t="n">
        <v>20</v>
      </c>
      <c r="I164" s="24" t="s">
        <v>828</v>
      </c>
      <c r="J164" s="24" t="s">
        <v>829</v>
      </c>
      <c r="K164" s="24" t="s">
        <v>1498</v>
      </c>
      <c r="L164" s="24" t="s">
        <v>831</v>
      </c>
      <c r="M164" s="24" t="s">
        <v>1499</v>
      </c>
    </row>
    <row r="165" customFormat="false" ht="15" hidden="false" customHeight="false" outlineLevel="0" collapsed="false">
      <c r="A165" s="24" t="s">
        <v>229</v>
      </c>
      <c r="B165" s="24" t="s">
        <v>833</v>
      </c>
      <c r="C165" s="24" t="s">
        <v>1500</v>
      </c>
      <c r="D165" s="25" t="n">
        <v>0.5</v>
      </c>
      <c r="E165" s="24" t="s">
        <v>1441</v>
      </c>
      <c r="F165" s="24" t="s">
        <v>1442</v>
      </c>
      <c r="G165" s="24" t="s">
        <v>1446</v>
      </c>
      <c r="H165" s="25" t="n">
        <v>16.67</v>
      </c>
      <c r="I165" s="24" t="s">
        <v>828</v>
      </c>
      <c r="J165" s="24" t="s">
        <v>829</v>
      </c>
      <c r="K165" s="24" t="s">
        <v>1501</v>
      </c>
      <c r="L165" s="24" t="s">
        <v>831</v>
      </c>
      <c r="M165" s="24" t="s">
        <v>1502</v>
      </c>
    </row>
    <row r="166" customFormat="false" ht="15" hidden="false" customHeight="false" outlineLevel="0" collapsed="false">
      <c r="A166" s="24" t="s">
        <v>229</v>
      </c>
      <c r="B166" s="24" t="s">
        <v>40</v>
      </c>
      <c r="C166" s="24" t="s">
        <v>1503</v>
      </c>
      <c r="D166" s="25" t="n">
        <v>0.5</v>
      </c>
      <c r="E166" s="24" t="s">
        <v>1449</v>
      </c>
      <c r="F166" s="24" t="s">
        <v>1442</v>
      </c>
      <c r="G166" s="24" t="s">
        <v>1446</v>
      </c>
      <c r="H166" s="25" t="n">
        <v>16.67</v>
      </c>
      <c r="I166" s="24" t="s">
        <v>828</v>
      </c>
      <c r="J166" s="24" t="s">
        <v>829</v>
      </c>
      <c r="K166" s="24" t="s">
        <v>1504</v>
      </c>
      <c r="L166" s="24" t="s">
        <v>831</v>
      </c>
      <c r="M166" s="24" t="s">
        <v>1505</v>
      </c>
    </row>
    <row r="167" customFormat="false" ht="15" hidden="false" customHeight="false" outlineLevel="0" collapsed="false">
      <c r="A167" s="24" t="s">
        <v>232</v>
      </c>
      <c r="B167" s="24" t="s">
        <v>823</v>
      </c>
      <c r="C167" s="24" t="s">
        <v>1506</v>
      </c>
      <c r="D167" s="25" t="n">
        <v>1.09</v>
      </c>
      <c r="E167" s="24" t="s">
        <v>1507</v>
      </c>
      <c r="F167" s="24" t="s">
        <v>1474</v>
      </c>
      <c r="G167" s="24" t="s">
        <v>1508</v>
      </c>
      <c r="H167" s="25" t="n">
        <v>24.22</v>
      </c>
      <c r="I167" s="24" t="s">
        <v>828</v>
      </c>
      <c r="J167" s="24" t="s">
        <v>829</v>
      </c>
      <c r="K167" s="24" t="s">
        <v>1509</v>
      </c>
      <c r="L167" s="24" t="s">
        <v>831</v>
      </c>
      <c r="M167" s="24" t="s">
        <v>1510</v>
      </c>
    </row>
    <row r="168" customFormat="false" ht="15" hidden="false" customHeight="false" outlineLevel="0" collapsed="false">
      <c r="A168" s="24" t="s">
        <v>232</v>
      </c>
      <c r="B168" s="24" t="s">
        <v>833</v>
      </c>
      <c r="C168" s="24" t="s">
        <v>1511</v>
      </c>
      <c r="D168" s="25" t="n">
        <v>1.15</v>
      </c>
      <c r="E168" s="24" t="s">
        <v>1512</v>
      </c>
      <c r="F168" s="24" t="s">
        <v>1513</v>
      </c>
      <c r="G168" s="24" t="s">
        <v>1514</v>
      </c>
      <c r="H168" s="25" t="n">
        <v>23.96</v>
      </c>
      <c r="I168" s="24" t="s">
        <v>828</v>
      </c>
      <c r="J168" s="24" t="s">
        <v>829</v>
      </c>
      <c r="K168" s="24" t="s">
        <v>1515</v>
      </c>
      <c r="L168" s="24" t="s">
        <v>831</v>
      </c>
      <c r="M168" s="24" t="s">
        <v>1516</v>
      </c>
    </row>
    <row r="169" customFormat="false" ht="15" hidden="false" customHeight="false" outlineLevel="0" collapsed="false">
      <c r="A169" s="24" t="s">
        <v>232</v>
      </c>
      <c r="B169" s="24" t="s">
        <v>40</v>
      </c>
      <c r="C169" s="24" t="s">
        <v>1517</v>
      </c>
      <c r="D169" s="25" t="n">
        <v>1</v>
      </c>
      <c r="E169" s="24" t="s">
        <v>1473</v>
      </c>
      <c r="F169" s="24" t="s">
        <v>1474</v>
      </c>
      <c r="G169" s="24" t="s">
        <v>1475</v>
      </c>
      <c r="H169" s="25" t="n">
        <v>22.22</v>
      </c>
      <c r="I169" s="24" t="s">
        <v>828</v>
      </c>
      <c r="J169" s="24" t="s">
        <v>829</v>
      </c>
      <c r="K169" s="24" t="s">
        <v>1518</v>
      </c>
      <c r="L169" s="24" t="s">
        <v>831</v>
      </c>
      <c r="M169" s="24"/>
    </row>
    <row r="170" customFormat="false" ht="15" hidden="false" customHeight="false" outlineLevel="0" collapsed="false">
      <c r="A170" s="24" t="s">
        <v>236</v>
      </c>
      <c r="B170" s="24" t="s">
        <v>823</v>
      </c>
      <c r="C170" s="24" t="s">
        <v>1519</v>
      </c>
      <c r="D170" s="25" t="n">
        <v>1.09</v>
      </c>
      <c r="E170" s="24" t="s">
        <v>1507</v>
      </c>
      <c r="F170" s="24" t="s">
        <v>1474</v>
      </c>
      <c r="G170" s="24" t="s">
        <v>1508</v>
      </c>
      <c r="H170" s="25" t="n">
        <v>24.22</v>
      </c>
      <c r="I170" s="24" t="s">
        <v>828</v>
      </c>
      <c r="J170" s="24" t="s">
        <v>829</v>
      </c>
      <c r="K170" s="24" t="s">
        <v>1520</v>
      </c>
      <c r="L170" s="24" t="s">
        <v>831</v>
      </c>
      <c r="M170" s="24" t="s">
        <v>1521</v>
      </c>
    </row>
    <row r="171" customFormat="false" ht="15" hidden="false" customHeight="false" outlineLevel="0" collapsed="false">
      <c r="A171" s="24" t="s">
        <v>236</v>
      </c>
      <c r="B171" s="24" t="s">
        <v>833</v>
      </c>
      <c r="C171" s="24" t="s">
        <v>1522</v>
      </c>
      <c r="D171" s="25" t="n">
        <v>1.15</v>
      </c>
      <c r="E171" s="24" t="s">
        <v>1523</v>
      </c>
      <c r="F171" s="24" t="s">
        <v>1524</v>
      </c>
      <c r="G171" s="24" t="s">
        <v>1525</v>
      </c>
      <c r="H171" s="25" t="n">
        <v>26.14</v>
      </c>
      <c r="I171" s="24" t="s">
        <v>828</v>
      </c>
      <c r="J171" s="24" t="s">
        <v>829</v>
      </c>
      <c r="K171" s="24" t="s">
        <v>1526</v>
      </c>
      <c r="L171" s="24" t="s">
        <v>831</v>
      </c>
      <c r="M171" s="24" t="s">
        <v>1527</v>
      </c>
    </row>
    <row r="172" customFormat="false" ht="15" hidden="false" customHeight="false" outlineLevel="0" collapsed="false">
      <c r="A172" s="24" t="s">
        <v>236</v>
      </c>
      <c r="B172" s="24" t="s">
        <v>40</v>
      </c>
      <c r="C172" s="24" t="s">
        <v>1528</v>
      </c>
      <c r="D172" s="25" t="n">
        <v>1</v>
      </c>
      <c r="E172" s="24" t="s">
        <v>1150</v>
      </c>
      <c r="F172" s="24" t="s">
        <v>1151</v>
      </c>
      <c r="G172" s="24" t="s">
        <v>1490</v>
      </c>
      <c r="H172" s="25" t="n">
        <v>20</v>
      </c>
      <c r="I172" s="24" t="s">
        <v>828</v>
      </c>
      <c r="J172" s="24" t="s">
        <v>829</v>
      </c>
      <c r="K172" s="24" t="s">
        <v>1529</v>
      </c>
      <c r="L172" s="24" t="s">
        <v>831</v>
      </c>
      <c r="M172" s="24" t="s">
        <v>1530</v>
      </c>
    </row>
    <row r="173" customFormat="false" ht="15" hidden="false" customHeight="false" outlineLevel="0" collapsed="false">
      <c r="A173" s="24" t="s">
        <v>240</v>
      </c>
      <c r="B173" s="24" t="s">
        <v>823</v>
      </c>
      <c r="C173" s="24" t="s">
        <v>1531</v>
      </c>
      <c r="D173" s="25" t="n">
        <v>1.09</v>
      </c>
      <c r="E173" s="24" t="s">
        <v>1478</v>
      </c>
      <c r="F173" s="24" t="s">
        <v>1479</v>
      </c>
      <c r="G173" s="24" t="s">
        <v>1480</v>
      </c>
      <c r="H173" s="25" t="n">
        <v>34.06</v>
      </c>
      <c r="I173" s="24" t="s">
        <v>828</v>
      </c>
      <c r="J173" s="24" t="s">
        <v>829</v>
      </c>
      <c r="K173" s="24" t="s">
        <v>1532</v>
      </c>
      <c r="L173" s="24" t="s">
        <v>831</v>
      </c>
      <c r="M173" s="24" t="s">
        <v>1533</v>
      </c>
    </row>
    <row r="174" customFormat="false" ht="15" hidden="false" customHeight="false" outlineLevel="0" collapsed="false">
      <c r="A174" s="24" t="s">
        <v>240</v>
      </c>
      <c r="B174" s="24" t="s">
        <v>833</v>
      </c>
      <c r="C174" s="24" t="s">
        <v>1534</v>
      </c>
      <c r="D174" s="25" t="n">
        <v>1.15</v>
      </c>
      <c r="E174" s="24" t="s">
        <v>1452</v>
      </c>
      <c r="F174" s="24" t="s">
        <v>1453</v>
      </c>
      <c r="G174" s="24" t="s">
        <v>1484</v>
      </c>
      <c r="H174" s="25" t="n">
        <v>30.26</v>
      </c>
      <c r="I174" s="24" t="s">
        <v>828</v>
      </c>
      <c r="J174" s="24" t="s">
        <v>829</v>
      </c>
      <c r="K174" s="24" t="s">
        <v>1535</v>
      </c>
      <c r="L174" s="24" t="s">
        <v>831</v>
      </c>
      <c r="M174" s="24" t="s">
        <v>1486</v>
      </c>
    </row>
    <row r="175" customFormat="false" ht="15" hidden="false" customHeight="false" outlineLevel="0" collapsed="false">
      <c r="A175" s="24" t="s">
        <v>240</v>
      </c>
      <c r="B175" s="24" t="s">
        <v>40</v>
      </c>
      <c r="C175" s="24" t="s">
        <v>1536</v>
      </c>
      <c r="D175" s="25" t="n">
        <v>1</v>
      </c>
      <c r="E175" s="24" t="s">
        <v>1537</v>
      </c>
      <c r="F175" s="24" t="s">
        <v>1538</v>
      </c>
      <c r="G175" s="24" t="s">
        <v>1539</v>
      </c>
      <c r="H175" s="25" t="n">
        <v>27.78</v>
      </c>
      <c r="I175" s="24" t="s">
        <v>828</v>
      </c>
      <c r="J175" s="24" t="s">
        <v>829</v>
      </c>
      <c r="K175" s="24" t="s">
        <v>1540</v>
      </c>
      <c r="L175" s="24" t="s">
        <v>831</v>
      </c>
      <c r="M175" s="24"/>
    </row>
    <row r="176" customFormat="false" ht="15" hidden="false" customHeight="false" outlineLevel="0" collapsed="false">
      <c r="A176" s="24" t="s">
        <v>244</v>
      </c>
      <c r="B176" s="24" t="s">
        <v>823</v>
      </c>
      <c r="C176" s="24" t="s">
        <v>1541</v>
      </c>
      <c r="D176" s="25" t="n">
        <v>1.5</v>
      </c>
      <c r="E176" s="24" t="s">
        <v>1542</v>
      </c>
      <c r="F176" s="24" t="s">
        <v>1543</v>
      </c>
      <c r="G176" s="24" t="s">
        <v>1446</v>
      </c>
      <c r="H176" s="25" t="n">
        <v>16.67</v>
      </c>
      <c r="I176" s="24" t="s">
        <v>828</v>
      </c>
      <c r="J176" s="24" t="s">
        <v>829</v>
      </c>
      <c r="K176" s="24" t="s">
        <v>1544</v>
      </c>
      <c r="L176" s="24" t="s">
        <v>831</v>
      </c>
      <c r="M176" s="24"/>
    </row>
    <row r="177" customFormat="false" ht="15" hidden="false" customHeight="false" outlineLevel="0" collapsed="false">
      <c r="A177" s="24" t="s">
        <v>244</v>
      </c>
      <c r="B177" s="24" t="s">
        <v>833</v>
      </c>
      <c r="C177" s="24" t="s">
        <v>1545</v>
      </c>
      <c r="D177" s="25" t="n">
        <v>1.3</v>
      </c>
      <c r="E177" s="24" t="s">
        <v>1546</v>
      </c>
      <c r="F177" s="24" t="s">
        <v>1162</v>
      </c>
      <c r="G177" s="24" t="s">
        <v>1547</v>
      </c>
      <c r="H177" s="25" t="n">
        <v>16.25</v>
      </c>
      <c r="I177" s="24" t="s">
        <v>828</v>
      </c>
      <c r="J177" s="24" t="s">
        <v>829</v>
      </c>
      <c r="K177" s="24" t="s">
        <v>1548</v>
      </c>
      <c r="L177" s="24" t="s">
        <v>831</v>
      </c>
      <c r="M177" s="24"/>
    </row>
    <row r="178" customFormat="false" ht="15" hidden="false" customHeight="false" outlineLevel="0" collapsed="false">
      <c r="A178" s="24" t="s">
        <v>244</v>
      </c>
      <c r="B178" s="24" t="s">
        <v>40</v>
      </c>
      <c r="C178" s="24" t="s">
        <v>1549</v>
      </c>
      <c r="D178" s="25" t="n">
        <v>1.25</v>
      </c>
      <c r="E178" s="24" t="s">
        <v>1161</v>
      </c>
      <c r="F178" s="24" t="s">
        <v>1162</v>
      </c>
      <c r="G178" s="24" t="s">
        <v>1550</v>
      </c>
      <c r="H178" s="25" t="n">
        <v>15.62</v>
      </c>
      <c r="I178" s="24" t="s">
        <v>828</v>
      </c>
      <c r="J178" s="24" t="s">
        <v>829</v>
      </c>
      <c r="K178" s="24" t="s">
        <v>1551</v>
      </c>
      <c r="L178" s="24" t="s">
        <v>831</v>
      </c>
      <c r="M178" s="24" t="s">
        <v>1552</v>
      </c>
    </row>
    <row r="179" customFormat="false" ht="15" hidden="false" customHeight="false" outlineLevel="0" collapsed="false">
      <c r="A179" s="24" t="s">
        <v>248</v>
      </c>
      <c r="B179" s="24" t="s">
        <v>823</v>
      </c>
      <c r="C179" s="24" t="s">
        <v>1553</v>
      </c>
      <c r="D179" s="25" t="n">
        <v>1.09</v>
      </c>
      <c r="E179" s="24" t="s">
        <v>1507</v>
      </c>
      <c r="F179" s="24" t="s">
        <v>1474</v>
      </c>
      <c r="G179" s="24" t="s">
        <v>1508</v>
      </c>
      <c r="H179" s="25" t="n">
        <v>24.22</v>
      </c>
      <c r="I179" s="24" t="s">
        <v>828</v>
      </c>
      <c r="J179" s="24" t="s">
        <v>829</v>
      </c>
      <c r="K179" s="24" t="s">
        <v>1554</v>
      </c>
      <c r="L179" s="24" t="s">
        <v>831</v>
      </c>
      <c r="M179" s="24" t="s">
        <v>1555</v>
      </c>
    </row>
    <row r="180" customFormat="false" ht="15" hidden="false" customHeight="false" outlineLevel="0" collapsed="false">
      <c r="A180" s="24" t="s">
        <v>248</v>
      </c>
      <c r="B180" s="24" t="s">
        <v>833</v>
      </c>
      <c r="C180" s="24" t="s">
        <v>1556</v>
      </c>
      <c r="D180" s="25" t="n">
        <v>1.15</v>
      </c>
      <c r="E180" s="24" t="s">
        <v>1523</v>
      </c>
      <c r="F180" s="24" t="s">
        <v>1524</v>
      </c>
      <c r="G180" s="24" t="s">
        <v>1525</v>
      </c>
      <c r="H180" s="25" t="n">
        <v>26.14</v>
      </c>
      <c r="I180" s="24" t="s">
        <v>828</v>
      </c>
      <c r="J180" s="24" t="s">
        <v>829</v>
      </c>
      <c r="K180" s="24" t="s">
        <v>1557</v>
      </c>
      <c r="L180" s="24" t="s">
        <v>831</v>
      </c>
      <c r="M180" s="24" t="s">
        <v>1558</v>
      </c>
    </row>
    <row r="181" customFormat="false" ht="15" hidden="false" customHeight="false" outlineLevel="0" collapsed="false">
      <c r="A181" s="24" t="s">
        <v>248</v>
      </c>
      <c r="B181" s="24" t="s">
        <v>40</v>
      </c>
      <c r="C181" s="24" t="s">
        <v>1559</v>
      </c>
      <c r="D181" s="25" t="n">
        <v>1</v>
      </c>
      <c r="E181" s="24" t="s">
        <v>1150</v>
      </c>
      <c r="F181" s="24" t="s">
        <v>1151</v>
      </c>
      <c r="G181" s="24" t="s">
        <v>1490</v>
      </c>
      <c r="H181" s="25" t="n">
        <v>20</v>
      </c>
      <c r="I181" s="24" t="s">
        <v>828</v>
      </c>
      <c r="J181" s="24" t="s">
        <v>829</v>
      </c>
      <c r="K181" s="24" t="s">
        <v>1560</v>
      </c>
      <c r="L181" s="24" t="s">
        <v>831</v>
      </c>
      <c r="M181" s="24" t="s">
        <v>1561</v>
      </c>
    </row>
    <row r="182" customFormat="false" ht="15" hidden="false" customHeight="false" outlineLevel="0" collapsed="false">
      <c r="A182" s="24" t="s">
        <v>251</v>
      </c>
      <c r="B182" s="24" t="s">
        <v>823</v>
      </c>
      <c r="C182" s="24" t="s">
        <v>1562</v>
      </c>
      <c r="D182" s="25" t="n">
        <v>1.2</v>
      </c>
      <c r="E182" s="24" t="s">
        <v>1563</v>
      </c>
      <c r="F182" s="24" t="s">
        <v>1564</v>
      </c>
      <c r="G182" s="24" t="s">
        <v>1565</v>
      </c>
      <c r="H182" s="25" t="n">
        <v>48</v>
      </c>
      <c r="I182" s="24" t="s">
        <v>828</v>
      </c>
      <c r="J182" s="24" t="s">
        <v>829</v>
      </c>
      <c r="K182" s="24" t="s">
        <v>1566</v>
      </c>
      <c r="L182" s="24" t="s">
        <v>831</v>
      </c>
      <c r="M182" s="24"/>
    </row>
    <row r="183" customFormat="false" ht="15" hidden="false" customHeight="false" outlineLevel="0" collapsed="false">
      <c r="A183" s="24" t="s">
        <v>251</v>
      </c>
      <c r="B183" s="24" t="s">
        <v>833</v>
      </c>
      <c r="C183" s="24" t="s">
        <v>1567</v>
      </c>
      <c r="D183" s="25" t="n">
        <v>1.55</v>
      </c>
      <c r="E183" s="24" t="s">
        <v>1512</v>
      </c>
      <c r="F183" s="24" t="s">
        <v>1513</v>
      </c>
      <c r="G183" s="24" t="s">
        <v>1568</v>
      </c>
      <c r="H183" s="25" t="n">
        <v>32.29</v>
      </c>
      <c r="I183" s="24" t="s">
        <v>828</v>
      </c>
      <c r="J183" s="24" t="s">
        <v>829</v>
      </c>
      <c r="K183" s="24" t="s">
        <v>1569</v>
      </c>
      <c r="L183" s="24" t="s">
        <v>831</v>
      </c>
      <c r="M183" s="24" t="s">
        <v>1570</v>
      </c>
    </row>
    <row r="184" customFormat="false" ht="15" hidden="false" customHeight="false" outlineLevel="0" collapsed="false">
      <c r="A184" s="24" t="s">
        <v>251</v>
      </c>
      <c r="B184" s="24" t="s">
        <v>40</v>
      </c>
      <c r="C184" s="24" t="s">
        <v>1571</v>
      </c>
      <c r="D184" s="25" t="n">
        <v>1.2</v>
      </c>
      <c r="E184" s="24" t="s">
        <v>1572</v>
      </c>
      <c r="F184" s="24" t="s">
        <v>1564</v>
      </c>
      <c r="G184" s="24" t="s">
        <v>1565</v>
      </c>
      <c r="H184" s="25" t="n">
        <v>48</v>
      </c>
      <c r="I184" s="24" t="s">
        <v>828</v>
      </c>
      <c r="J184" s="24" t="s">
        <v>829</v>
      </c>
      <c r="K184" s="24" t="s">
        <v>1573</v>
      </c>
      <c r="L184" s="24" t="s">
        <v>831</v>
      </c>
      <c r="M184" s="24"/>
    </row>
    <row r="185" customFormat="false" ht="15" hidden="false" customHeight="false" outlineLevel="0" collapsed="false">
      <c r="A185" s="24" t="s">
        <v>255</v>
      </c>
      <c r="B185" s="24" t="s">
        <v>823</v>
      </c>
      <c r="C185" s="24" t="s">
        <v>1574</v>
      </c>
      <c r="D185" s="25" t="n">
        <v>0.6</v>
      </c>
      <c r="E185" s="24" t="s">
        <v>1441</v>
      </c>
      <c r="F185" s="24" t="s">
        <v>1442</v>
      </c>
      <c r="G185" s="24" t="s">
        <v>1490</v>
      </c>
      <c r="H185" s="25" t="n">
        <v>20</v>
      </c>
      <c r="I185" s="24" t="s">
        <v>828</v>
      </c>
      <c r="J185" s="24" t="s">
        <v>829</v>
      </c>
      <c r="K185" s="24" t="s">
        <v>1575</v>
      </c>
      <c r="L185" s="24" t="s">
        <v>831</v>
      </c>
      <c r="M185" s="24"/>
    </row>
    <row r="186" customFormat="false" ht="15" hidden="false" customHeight="false" outlineLevel="0" collapsed="false">
      <c r="A186" s="24" t="s">
        <v>255</v>
      </c>
      <c r="B186" s="24" t="s">
        <v>833</v>
      </c>
      <c r="C186" s="24" t="s">
        <v>1576</v>
      </c>
      <c r="D186" s="25" t="n">
        <v>0.55</v>
      </c>
      <c r="E186" s="24" t="s">
        <v>1441</v>
      </c>
      <c r="F186" s="24" t="s">
        <v>1442</v>
      </c>
      <c r="G186" s="24" t="s">
        <v>1577</v>
      </c>
      <c r="H186" s="25" t="n">
        <v>18.33</v>
      </c>
      <c r="I186" s="24" t="s">
        <v>828</v>
      </c>
      <c r="J186" s="24" t="s">
        <v>829</v>
      </c>
      <c r="K186" s="24" t="s">
        <v>1578</v>
      </c>
      <c r="L186" s="24" t="s">
        <v>831</v>
      </c>
      <c r="M186" s="24"/>
    </row>
    <row r="187" customFormat="false" ht="15" hidden="false" customHeight="false" outlineLevel="0" collapsed="false">
      <c r="A187" s="24" t="s">
        <v>255</v>
      </c>
      <c r="B187" s="24" t="s">
        <v>40</v>
      </c>
      <c r="C187" s="24" t="s">
        <v>1579</v>
      </c>
      <c r="D187" s="25" t="n">
        <v>0.5</v>
      </c>
      <c r="E187" s="24" t="s">
        <v>1449</v>
      </c>
      <c r="F187" s="24" t="s">
        <v>1442</v>
      </c>
      <c r="G187" s="24" t="s">
        <v>1446</v>
      </c>
      <c r="H187" s="25" t="n">
        <v>16.67</v>
      </c>
      <c r="I187" s="24" t="s">
        <v>828</v>
      </c>
      <c r="J187" s="24" t="s">
        <v>829</v>
      </c>
      <c r="K187" s="24" t="s">
        <v>1580</v>
      </c>
      <c r="L187" s="24" t="s">
        <v>831</v>
      </c>
      <c r="M187" s="24" t="s">
        <v>963</v>
      </c>
    </row>
    <row r="188" customFormat="false" ht="15" hidden="false" customHeight="false" outlineLevel="0" collapsed="false">
      <c r="A188" s="24" t="s">
        <v>258</v>
      </c>
      <c r="B188" s="24" t="s">
        <v>823</v>
      </c>
      <c r="C188" s="24" t="s">
        <v>1581</v>
      </c>
      <c r="D188" s="25" t="n">
        <v>1.09</v>
      </c>
      <c r="E188" s="24" t="s">
        <v>1582</v>
      </c>
      <c r="F188" s="24" t="s">
        <v>1583</v>
      </c>
      <c r="G188" s="24" t="s">
        <v>1584</v>
      </c>
      <c r="H188" s="25" t="n">
        <v>29.46</v>
      </c>
      <c r="I188" s="24" t="s">
        <v>828</v>
      </c>
      <c r="J188" s="24" t="s">
        <v>829</v>
      </c>
      <c r="K188" s="24" t="s">
        <v>1585</v>
      </c>
      <c r="L188" s="24" t="s">
        <v>831</v>
      </c>
      <c r="M188" s="24" t="s">
        <v>1586</v>
      </c>
    </row>
    <row r="189" customFormat="false" ht="15" hidden="false" customHeight="false" outlineLevel="0" collapsed="false">
      <c r="A189" s="24" t="s">
        <v>258</v>
      </c>
      <c r="B189" s="24" t="s">
        <v>833</v>
      </c>
      <c r="C189" s="24" t="s">
        <v>1587</v>
      </c>
      <c r="D189" s="25" t="n">
        <v>1.15</v>
      </c>
      <c r="E189" s="24" t="s">
        <v>1452</v>
      </c>
      <c r="F189" s="24" t="s">
        <v>1453</v>
      </c>
      <c r="G189" s="24" t="s">
        <v>1484</v>
      </c>
      <c r="H189" s="25" t="n">
        <v>30.26</v>
      </c>
      <c r="I189" s="24" t="s">
        <v>828</v>
      </c>
      <c r="J189" s="24" t="s">
        <v>829</v>
      </c>
      <c r="K189" s="24" t="s">
        <v>1588</v>
      </c>
      <c r="L189" s="24" t="s">
        <v>831</v>
      </c>
      <c r="M189" s="24" t="s">
        <v>1589</v>
      </c>
    </row>
    <row r="190" customFormat="false" ht="15" hidden="false" customHeight="false" outlineLevel="0" collapsed="false">
      <c r="A190" s="24" t="s">
        <v>258</v>
      </c>
      <c r="B190" s="24" t="s">
        <v>40</v>
      </c>
      <c r="C190" s="24" t="s">
        <v>1590</v>
      </c>
      <c r="D190" s="25" t="n">
        <v>1</v>
      </c>
      <c r="E190" s="24" t="s">
        <v>1591</v>
      </c>
      <c r="F190" s="24" t="s">
        <v>1583</v>
      </c>
      <c r="G190" s="24" t="s">
        <v>1592</v>
      </c>
      <c r="H190" s="25" t="n">
        <v>27.03</v>
      </c>
      <c r="I190" s="24" t="s">
        <v>828</v>
      </c>
      <c r="J190" s="24" t="s">
        <v>829</v>
      </c>
      <c r="K190" s="24" t="s">
        <v>1593</v>
      </c>
      <c r="L190" s="24" t="s">
        <v>831</v>
      </c>
      <c r="M190" s="24"/>
    </row>
    <row r="191" customFormat="false" ht="15" hidden="false" customHeight="false" outlineLevel="0" collapsed="false">
      <c r="A191" s="24" t="s">
        <v>262</v>
      </c>
      <c r="B191" s="24" t="s">
        <v>823</v>
      </c>
      <c r="C191" s="24" t="s">
        <v>1594</v>
      </c>
      <c r="D191" s="25" t="n">
        <v>1.55</v>
      </c>
      <c r="E191" s="24" t="s">
        <v>965</v>
      </c>
      <c r="F191" s="24" t="s">
        <v>966</v>
      </c>
      <c r="G191" s="24" t="s">
        <v>1595</v>
      </c>
      <c r="H191" s="25" t="n">
        <v>12.4</v>
      </c>
      <c r="I191" s="24" t="s">
        <v>828</v>
      </c>
      <c r="J191" s="24" t="s">
        <v>829</v>
      </c>
      <c r="K191" s="24" t="s">
        <v>1596</v>
      </c>
      <c r="L191" s="24" t="s">
        <v>831</v>
      </c>
      <c r="M191" s="24"/>
    </row>
    <row r="192" customFormat="false" ht="15" hidden="false" customHeight="false" outlineLevel="0" collapsed="false">
      <c r="A192" s="24" t="s">
        <v>262</v>
      </c>
      <c r="B192" s="24" t="s">
        <v>833</v>
      </c>
      <c r="C192" s="24" t="s">
        <v>1597</v>
      </c>
      <c r="D192" s="25" t="n">
        <v>1.25</v>
      </c>
      <c r="E192" s="24" t="s">
        <v>1209</v>
      </c>
      <c r="F192" s="24" t="s">
        <v>1204</v>
      </c>
      <c r="G192" s="24" t="s">
        <v>1598</v>
      </c>
      <c r="H192" s="25" t="n">
        <v>12.5</v>
      </c>
      <c r="I192" s="24" t="s">
        <v>828</v>
      </c>
      <c r="J192" s="24" t="s">
        <v>829</v>
      </c>
      <c r="K192" s="24" t="s">
        <v>1599</v>
      </c>
      <c r="L192" s="24" t="s">
        <v>831</v>
      </c>
      <c r="M192" s="24" t="s">
        <v>1600</v>
      </c>
    </row>
    <row r="193" customFormat="false" ht="15" hidden="false" customHeight="false" outlineLevel="0" collapsed="false">
      <c r="A193" s="24" t="s">
        <v>262</v>
      </c>
      <c r="B193" s="24" t="s">
        <v>40</v>
      </c>
      <c r="C193" s="24" t="s">
        <v>1601</v>
      </c>
      <c r="D193" s="25" t="n">
        <v>1.25</v>
      </c>
      <c r="E193" s="24" t="s">
        <v>1209</v>
      </c>
      <c r="F193" s="24" t="s">
        <v>1204</v>
      </c>
      <c r="G193" s="24" t="s">
        <v>1598</v>
      </c>
      <c r="H193" s="25" t="n">
        <v>12.5</v>
      </c>
      <c r="I193" s="24" t="s">
        <v>828</v>
      </c>
      <c r="J193" s="24" t="s">
        <v>829</v>
      </c>
      <c r="K193" s="24" t="s">
        <v>1602</v>
      </c>
      <c r="L193" s="24" t="s">
        <v>831</v>
      </c>
      <c r="M193" s="24" t="s">
        <v>1603</v>
      </c>
    </row>
    <row r="194" customFormat="false" ht="15" hidden="false" customHeight="false" outlineLevel="0" collapsed="false">
      <c r="A194" s="24" t="s">
        <v>266</v>
      </c>
      <c r="B194" s="24" t="s">
        <v>823</v>
      </c>
      <c r="C194" s="24" t="s">
        <v>1604</v>
      </c>
      <c r="D194" s="25" t="n">
        <v>0.8</v>
      </c>
      <c r="E194" s="24" t="s">
        <v>1605</v>
      </c>
      <c r="F194" s="24" t="s">
        <v>1024</v>
      </c>
      <c r="G194" s="24" t="s">
        <v>1606</v>
      </c>
      <c r="H194" s="25" t="n">
        <v>3.2</v>
      </c>
      <c r="I194" s="24" t="s">
        <v>828</v>
      </c>
      <c r="J194" s="24" t="s">
        <v>829</v>
      </c>
      <c r="K194" s="24" t="s">
        <v>1607</v>
      </c>
      <c r="L194" s="24" t="s">
        <v>831</v>
      </c>
      <c r="M194" s="24"/>
    </row>
    <row r="195" customFormat="false" ht="15" hidden="false" customHeight="false" outlineLevel="0" collapsed="false">
      <c r="A195" s="24" t="s">
        <v>266</v>
      </c>
      <c r="B195" s="24" t="s">
        <v>833</v>
      </c>
      <c r="C195" s="24" t="s">
        <v>1608</v>
      </c>
      <c r="D195" s="25" t="n">
        <v>0.9</v>
      </c>
      <c r="E195" s="24" t="s">
        <v>1605</v>
      </c>
      <c r="F195" s="24" t="s">
        <v>1024</v>
      </c>
      <c r="G195" s="24" t="s">
        <v>1609</v>
      </c>
      <c r="H195" s="25" t="n">
        <v>3.6</v>
      </c>
      <c r="I195" s="24" t="s">
        <v>828</v>
      </c>
      <c r="J195" s="24" t="s">
        <v>829</v>
      </c>
      <c r="K195" s="24" t="s">
        <v>1610</v>
      </c>
      <c r="L195" s="24" t="s">
        <v>831</v>
      </c>
      <c r="M195" s="24" t="s">
        <v>1611</v>
      </c>
    </row>
    <row r="196" customFormat="false" ht="15" hidden="false" customHeight="false" outlineLevel="0" collapsed="false">
      <c r="A196" s="24" t="s">
        <v>266</v>
      </c>
      <c r="B196" s="24" t="s">
        <v>40</v>
      </c>
      <c r="C196" s="24" t="s">
        <v>1612</v>
      </c>
      <c r="D196" s="25" t="n">
        <v>1.6</v>
      </c>
      <c r="E196" s="24" t="s">
        <v>1613</v>
      </c>
      <c r="F196" s="24" t="s">
        <v>826</v>
      </c>
      <c r="G196" s="24" t="s">
        <v>1606</v>
      </c>
      <c r="H196" s="25" t="n">
        <v>3.2</v>
      </c>
      <c r="I196" s="24" t="s">
        <v>828</v>
      </c>
      <c r="J196" s="24" t="s">
        <v>829</v>
      </c>
      <c r="K196" s="24" t="s">
        <v>1614</v>
      </c>
      <c r="L196" s="24" t="s">
        <v>831</v>
      </c>
      <c r="M196" s="24" t="s">
        <v>1615</v>
      </c>
    </row>
    <row r="197" customFormat="false" ht="15" hidden="false" customHeight="false" outlineLevel="0" collapsed="false">
      <c r="A197" s="24" t="s">
        <v>270</v>
      </c>
      <c r="B197" s="24" t="s">
        <v>823</v>
      </c>
      <c r="C197" s="24" t="s">
        <v>1616</v>
      </c>
      <c r="D197" s="25" t="n">
        <v>1.15</v>
      </c>
      <c r="E197" s="24" t="s">
        <v>1605</v>
      </c>
      <c r="F197" s="24" t="s">
        <v>1024</v>
      </c>
      <c r="G197" s="24" t="s">
        <v>1617</v>
      </c>
      <c r="H197" s="25" t="n">
        <v>4.6</v>
      </c>
      <c r="I197" s="24" t="s">
        <v>828</v>
      </c>
      <c r="J197" s="24" t="s">
        <v>829</v>
      </c>
      <c r="K197" s="24" t="s">
        <v>1618</v>
      </c>
      <c r="L197" s="24" t="s">
        <v>831</v>
      </c>
      <c r="M197" s="24" t="s">
        <v>1619</v>
      </c>
    </row>
    <row r="198" customFormat="false" ht="15" hidden="false" customHeight="false" outlineLevel="0" collapsed="false">
      <c r="A198" s="24" t="s">
        <v>270</v>
      </c>
      <c r="B198" s="24" t="s">
        <v>833</v>
      </c>
      <c r="C198" s="24" t="s">
        <v>1620</v>
      </c>
      <c r="D198" s="25" t="n">
        <v>1.25</v>
      </c>
      <c r="E198" s="24" t="s">
        <v>1605</v>
      </c>
      <c r="F198" s="24" t="s">
        <v>1024</v>
      </c>
      <c r="G198" s="24" t="s">
        <v>1621</v>
      </c>
      <c r="H198" s="25" t="n">
        <v>5</v>
      </c>
      <c r="I198" s="24" t="s">
        <v>828</v>
      </c>
      <c r="J198" s="24" t="s">
        <v>829</v>
      </c>
      <c r="K198" s="24" t="s">
        <v>1622</v>
      </c>
      <c r="L198" s="24" t="s">
        <v>831</v>
      </c>
      <c r="M198" s="24" t="s">
        <v>1619</v>
      </c>
    </row>
    <row r="199" customFormat="false" ht="15" hidden="false" customHeight="false" outlineLevel="0" collapsed="false">
      <c r="A199" s="24" t="s">
        <v>270</v>
      </c>
      <c r="B199" s="24" t="s">
        <v>40</v>
      </c>
      <c r="C199" s="24" t="s">
        <v>1623</v>
      </c>
      <c r="D199" s="25" t="n">
        <v>1.3</v>
      </c>
      <c r="E199" s="24" t="s">
        <v>1605</v>
      </c>
      <c r="F199" s="24" t="s">
        <v>1024</v>
      </c>
      <c r="G199" s="24" t="s">
        <v>1624</v>
      </c>
      <c r="H199" s="25" t="n">
        <v>5.2</v>
      </c>
      <c r="I199" s="24" t="s">
        <v>828</v>
      </c>
      <c r="J199" s="24" t="s">
        <v>829</v>
      </c>
      <c r="K199" s="24" t="s">
        <v>1625</v>
      </c>
      <c r="L199" s="24" t="s">
        <v>831</v>
      </c>
      <c r="M199" s="24" t="s">
        <v>1619</v>
      </c>
    </row>
    <row r="200" customFormat="false" ht="15" hidden="false" customHeight="false" outlineLevel="0" collapsed="false">
      <c r="A200" s="24" t="s">
        <v>492</v>
      </c>
      <c r="B200" s="24" t="s">
        <v>823</v>
      </c>
      <c r="C200" s="24" t="s">
        <v>1626</v>
      </c>
      <c r="D200" s="25" t="n">
        <v>0.35</v>
      </c>
      <c r="E200" s="24" t="s">
        <v>1627</v>
      </c>
      <c r="F200" s="24"/>
      <c r="G200" s="24" t="s">
        <v>1628</v>
      </c>
      <c r="H200" s="25" t="n">
        <v>2.67</v>
      </c>
      <c r="I200" s="24" t="s">
        <v>1629</v>
      </c>
      <c r="J200" s="24" t="s">
        <v>829</v>
      </c>
      <c r="K200" s="24" t="s">
        <v>1630</v>
      </c>
      <c r="L200" s="24" t="s">
        <v>831</v>
      </c>
      <c r="M200" s="24" t="s">
        <v>1263</v>
      </c>
    </row>
    <row r="201" customFormat="false" ht="15" hidden="false" customHeight="false" outlineLevel="0" collapsed="false">
      <c r="A201" s="24" t="s">
        <v>492</v>
      </c>
      <c r="B201" s="24" t="s">
        <v>833</v>
      </c>
      <c r="C201" s="24"/>
      <c r="D201" s="25"/>
      <c r="E201" s="24"/>
      <c r="F201" s="24"/>
      <c r="G201" s="24"/>
      <c r="H201" s="25"/>
      <c r="I201" s="24" t="s">
        <v>993</v>
      </c>
      <c r="J201" s="24" t="s">
        <v>928</v>
      </c>
      <c r="K201" s="24" t="s">
        <v>1631</v>
      </c>
      <c r="L201" s="24" t="s">
        <v>831</v>
      </c>
      <c r="M201" s="24" t="s">
        <v>1632</v>
      </c>
    </row>
    <row r="202" customFormat="false" ht="15" hidden="false" customHeight="false" outlineLevel="0" collapsed="false">
      <c r="A202" s="24" t="s">
        <v>492</v>
      </c>
      <c r="B202" s="24" t="s">
        <v>40</v>
      </c>
      <c r="C202" s="24" t="s">
        <v>1633</v>
      </c>
      <c r="D202" s="25" t="n">
        <v>0.35</v>
      </c>
      <c r="E202" s="24" t="s">
        <v>1100</v>
      </c>
      <c r="F202" s="24"/>
      <c r="G202" s="24" t="s">
        <v>1634</v>
      </c>
      <c r="H202" s="25" t="n">
        <v>2.67</v>
      </c>
      <c r="I202" s="24" t="s">
        <v>1629</v>
      </c>
      <c r="J202" s="24" t="s">
        <v>829</v>
      </c>
      <c r="K202" s="24" t="s">
        <v>1635</v>
      </c>
      <c r="L202" s="24" t="s">
        <v>831</v>
      </c>
      <c r="M202" s="24" t="s">
        <v>1636</v>
      </c>
    </row>
    <row r="203" customFormat="false" ht="15" hidden="false" customHeight="false" outlineLevel="0" collapsed="false">
      <c r="A203" s="24" t="s">
        <v>496</v>
      </c>
      <c r="B203" s="24" t="s">
        <v>823</v>
      </c>
      <c r="C203" s="24"/>
      <c r="D203" s="25"/>
      <c r="E203" s="24"/>
      <c r="F203" s="24"/>
      <c r="G203" s="24"/>
      <c r="H203" s="25"/>
      <c r="I203" s="24" t="s">
        <v>993</v>
      </c>
      <c r="J203" s="24" t="s">
        <v>928</v>
      </c>
      <c r="K203" s="24" t="s">
        <v>1637</v>
      </c>
      <c r="L203" s="24" t="s">
        <v>831</v>
      </c>
      <c r="M203" s="24" t="s">
        <v>1638</v>
      </c>
    </row>
    <row r="204" customFormat="false" ht="15" hidden="false" customHeight="false" outlineLevel="0" collapsed="false">
      <c r="A204" s="24" t="s">
        <v>496</v>
      </c>
      <c r="B204" s="24" t="s">
        <v>833</v>
      </c>
      <c r="C204" s="24" t="s">
        <v>1639</v>
      </c>
      <c r="D204" s="25" t="n">
        <v>0.94</v>
      </c>
      <c r="E204" s="24" t="s">
        <v>1640</v>
      </c>
      <c r="F204" s="24"/>
      <c r="G204" s="24" t="s">
        <v>1641</v>
      </c>
      <c r="H204" s="25" t="n">
        <v>2.8</v>
      </c>
      <c r="I204" s="24" t="s">
        <v>1642</v>
      </c>
      <c r="J204" s="24" t="s">
        <v>829</v>
      </c>
      <c r="K204" s="24" t="s">
        <v>1643</v>
      </c>
      <c r="L204" s="24" t="s">
        <v>831</v>
      </c>
      <c r="M204" s="24" t="s">
        <v>1644</v>
      </c>
    </row>
    <row r="205" customFormat="false" ht="15" hidden="false" customHeight="false" outlineLevel="0" collapsed="false">
      <c r="A205" s="24" t="s">
        <v>496</v>
      </c>
      <c r="B205" s="24" t="s">
        <v>40</v>
      </c>
      <c r="C205" s="24" t="s">
        <v>1645</v>
      </c>
      <c r="D205" s="25" t="n">
        <v>0.94</v>
      </c>
      <c r="E205" s="24" t="s">
        <v>1646</v>
      </c>
      <c r="F205" s="24"/>
      <c r="G205" s="24" t="s">
        <v>1647</v>
      </c>
      <c r="H205" s="25" t="n">
        <v>2.8</v>
      </c>
      <c r="I205" s="24" t="s">
        <v>1642</v>
      </c>
      <c r="J205" s="24" t="s">
        <v>829</v>
      </c>
      <c r="K205" s="24" t="s">
        <v>1648</v>
      </c>
      <c r="L205" s="24" t="s">
        <v>831</v>
      </c>
      <c r="M205" s="24" t="s">
        <v>1244</v>
      </c>
    </row>
    <row r="206" customFormat="false" ht="15" hidden="false" customHeight="false" outlineLevel="0" collapsed="false">
      <c r="A206" s="24" t="s">
        <v>500</v>
      </c>
      <c r="B206" s="24" t="s">
        <v>823</v>
      </c>
      <c r="C206" s="24" t="s">
        <v>1649</v>
      </c>
      <c r="D206" s="25" t="n">
        <v>1.1</v>
      </c>
      <c r="E206" s="24" t="s">
        <v>1650</v>
      </c>
      <c r="F206" s="24"/>
      <c r="G206" s="24" t="s">
        <v>1651</v>
      </c>
      <c r="H206" s="25" t="n">
        <v>8.09</v>
      </c>
      <c r="I206" s="24" t="s">
        <v>1652</v>
      </c>
      <c r="J206" s="24" t="s">
        <v>829</v>
      </c>
      <c r="K206" s="24" t="s">
        <v>1653</v>
      </c>
      <c r="L206" s="24" t="s">
        <v>831</v>
      </c>
      <c r="M206" s="24" t="s">
        <v>1654</v>
      </c>
    </row>
    <row r="207" customFormat="false" ht="15" hidden="false" customHeight="false" outlineLevel="0" collapsed="false">
      <c r="A207" s="24" t="s">
        <v>500</v>
      </c>
      <c r="B207" s="24" t="s">
        <v>833</v>
      </c>
      <c r="C207" s="24" t="s">
        <v>1655</v>
      </c>
      <c r="D207" s="25" t="n">
        <v>0.69</v>
      </c>
      <c r="E207" s="24" t="s">
        <v>1100</v>
      </c>
      <c r="F207" s="24"/>
      <c r="G207" s="24" t="s">
        <v>1656</v>
      </c>
      <c r="H207" s="25" t="n">
        <v>5.07</v>
      </c>
      <c r="I207" s="24" t="s">
        <v>1652</v>
      </c>
      <c r="J207" s="24" t="s">
        <v>829</v>
      </c>
      <c r="K207" s="24" t="s">
        <v>1657</v>
      </c>
      <c r="L207" s="24" t="s">
        <v>831</v>
      </c>
      <c r="M207" s="24" t="s">
        <v>1267</v>
      </c>
    </row>
    <row r="208" customFormat="false" ht="15" hidden="false" customHeight="false" outlineLevel="0" collapsed="false">
      <c r="A208" s="24" t="s">
        <v>500</v>
      </c>
      <c r="B208" s="24" t="s">
        <v>40</v>
      </c>
      <c r="C208" s="24" t="s">
        <v>1658</v>
      </c>
      <c r="D208" s="25" t="n">
        <v>0.69</v>
      </c>
      <c r="E208" s="24" t="s">
        <v>1100</v>
      </c>
      <c r="F208" s="24"/>
      <c r="G208" s="24" t="s">
        <v>1659</v>
      </c>
      <c r="H208" s="25" t="n">
        <v>5.07</v>
      </c>
      <c r="I208" s="24" t="s">
        <v>1652</v>
      </c>
      <c r="J208" s="24" t="s">
        <v>829</v>
      </c>
      <c r="K208" s="24" t="s">
        <v>1660</v>
      </c>
      <c r="L208" s="24" t="s">
        <v>831</v>
      </c>
      <c r="M208" s="24" t="s">
        <v>1661</v>
      </c>
    </row>
    <row r="209" customFormat="false" ht="15" hidden="false" customHeight="false" outlineLevel="0" collapsed="false">
      <c r="A209" s="24" t="s">
        <v>274</v>
      </c>
      <c r="B209" s="24" t="s">
        <v>823</v>
      </c>
      <c r="C209" s="24" t="s">
        <v>1662</v>
      </c>
      <c r="D209" s="25" t="n">
        <v>2.3</v>
      </c>
      <c r="E209" s="24" t="s">
        <v>825</v>
      </c>
      <c r="F209" s="24" t="s">
        <v>826</v>
      </c>
      <c r="G209" s="24" t="s">
        <v>1088</v>
      </c>
      <c r="H209" s="25" t="n">
        <v>4.6</v>
      </c>
      <c r="I209" s="24" t="s">
        <v>828</v>
      </c>
      <c r="J209" s="24" t="s">
        <v>829</v>
      </c>
      <c r="K209" s="24" t="s">
        <v>1663</v>
      </c>
      <c r="L209" s="24" t="s">
        <v>831</v>
      </c>
      <c r="M209" s="24"/>
    </row>
    <row r="210" customFormat="false" ht="15" hidden="false" customHeight="false" outlineLevel="0" collapsed="false">
      <c r="A210" s="24" t="s">
        <v>274</v>
      </c>
      <c r="B210" s="24" t="s">
        <v>833</v>
      </c>
      <c r="C210" s="24" t="s">
        <v>1664</v>
      </c>
      <c r="D210" s="25" t="n">
        <v>2.3</v>
      </c>
      <c r="E210" s="24" t="s">
        <v>825</v>
      </c>
      <c r="F210" s="24" t="s">
        <v>826</v>
      </c>
      <c r="G210" s="24" t="s">
        <v>1088</v>
      </c>
      <c r="H210" s="25" t="n">
        <v>4.6</v>
      </c>
      <c r="I210" s="24" t="s">
        <v>828</v>
      </c>
      <c r="J210" s="24" t="s">
        <v>829</v>
      </c>
      <c r="K210" s="24" t="s">
        <v>1665</v>
      </c>
      <c r="L210" s="24" t="s">
        <v>831</v>
      </c>
      <c r="M210" s="24"/>
    </row>
    <row r="211" customFormat="false" ht="15" hidden="false" customHeight="false" outlineLevel="0" collapsed="false">
      <c r="A211" s="24" t="s">
        <v>274</v>
      </c>
      <c r="B211" s="24" t="s">
        <v>40</v>
      </c>
      <c r="C211" s="24" t="s">
        <v>1666</v>
      </c>
      <c r="D211" s="25" t="n">
        <v>2.3</v>
      </c>
      <c r="E211" s="24" t="s">
        <v>920</v>
      </c>
      <c r="F211" s="24" t="s">
        <v>826</v>
      </c>
      <c r="G211" s="24" t="s">
        <v>1088</v>
      </c>
      <c r="H211" s="25" t="n">
        <v>4.6</v>
      </c>
      <c r="I211" s="24" t="s">
        <v>828</v>
      </c>
      <c r="J211" s="24" t="s">
        <v>829</v>
      </c>
      <c r="K211" s="24" t="s">
        <v>1667</v>
      </c>
      <c r="L211" s="24" t="s">
        <v>831</v>
      </c>
      <c r="M211" s="24" t="s">
        <v>1668</v>
      </c>
    </row>
    <row r="212" customFormat="false" ht="15" hidden="false" customHeight="false" outlineLevel="0" collapsed="false">
      <c r="A212" s="24" t="s">
        <v>278</v>
      </c>
      <c r="B212" s="24" t="s">
        <v>823</v>
      </c>
      <c r="C212" s="24" t="s">
        <v>1669</v>
      </c>
      <c r="D212" s="25" t="n">
        <v>1.84</v>
      </c>
      <c r="E212" s="24" t="s">
        <v>989</v>
      </c>
      <c r="F212" s="24" t="s">
        <v>990</v>
      </c>
      <c r="G212" s="24" t="s">
        <v>1670</v>
      </c>
      <c r="H212" s="25" t="n">
        <v>9.2</v>
      </c>
      <c r="I212" s="24" t="s">
        <v>828</v>
      </c>
      <c r="J212" s="24" t="s">
        <v>829</v>
      </c>
      <c r="K212" s="24" t="s">
        <v>1671</v>
      </c>
      <c r="L212" s="24" t="s">
        <v>831</v>
      </c>
      <c r="M212" s="24"/>
    </row>
    <row r="213" customFormat="false" ht="15" hidden="false" customHeight="false" outlineLevel="0" collapsed="false">
      <c r="A213" s="24" t="s">
        <v>278</v>
      </c>
      <c r="B213" s="24" t="s">
        <v>833</v>
      </c>
      <c r="C213" s="24" t="s">
        <v>1672</v>
      </c>
      <c r="D213" s="25" t="n">
        <v>1.9</v>
      </c>
      <c r="E213" s="24" t="s">
        <v>989</v>
      </c>
      <c r="F213" s="24" t="s">
        <v>990</v>
      </c>
      <c r="G213" s="24" t="s">
        <v>1673</v>
      </c>
      <c r="H213" s="25" t="n">
        <v>9.5</v>
      </c>
      <c r="I213" s="24" t="s">
        <v>828</v>
      </c>
      <c r="J213" s="24" t="s">
        <v>829</v>
      </c>
      <c r="K213" s="24" t="s">
        <v>1674</v>
      </c>
      <c r="L213" s="24" t="s">
        <v>831</v>
      </c>
      <c r="M213" s="24"/>
    </row>
    <row r="214" customFormat="false" ht="15" hidden="false" customHeight="false" outlineLevel="0" collapsed="false">
      <c r="A214" s="24" t="s">
        <v>278</v>
      </c>
      <c r="B214" s="24" t="s">
        <v>40</v>
      </c>
      <c r="C214" s="24" t="s">
        <v>1675</v>
      </c>
      <c r="D214" s="25" t="n">
        <v>2.3</v>
      </c>
      <c r="E214" s="24" t="s">
        <v>1032</v>
      </c>
      <c r="F214" s="24" t="s">
        <v>1024</v>
      </c>
      <c r="G214" s="24" t="s">
        <v>1670</v>
      </c>
      <c r="H214" s="25" t="n">
        <v>9.2</v>
      </c>
      <c r="I214" s="24" t="s">
        <v>828</v>
      </c>
      <c r="J214" s="24" t="s">
        <v>829</v>
      </c>
      <c r="K214" s="24" t="s">
        <v>1676</v>
      </c>
      <c r="L214" s="24" t="s">
        <v>831</v>
      </c>
      <c r="M214" s="24"/>
    </row>
    <row r="215" customFormat="false" ht="15" hidden="false" customHeight="false" outlineLevel="0" collapsed="false">
      <c r="A215" s="24" t="s">
        <v>282</v>
      </c>
      <c r="B215" s="24" t="s">
        <v>823</v>
      </c>
      <c r="C215" s="24" t="s">
        <v>1677</v>
      </c>
      <c r="D215" s="25" t="n">
        <v>2.48</v>
      </c>
      <c r="E215" s="24" t="s">
        <v>1678</v>
      </c>
      <c r="F215" s="24" t="s">
        <v>1115</v>
      </c>
      <c r="G215" s="24" t="s">
        <v>1679</v>
      </c>
      <c r="H215" s="25" t="n">
        <v>13.78</v>
      </c>
      <c r="I215" s="24" t="s">
        <v>828</v>
      </c>
      <c r="J215" s="24" t="s">
        <v>829</v>
      </c>
      <c r="K215" s="24" t="s">
        <v>1680</v>
      </c>
      <c r="L215" s="24" t="s">
        <v>831</v>
      </c>
      <c r="M215" s="24" t="s">
        <v>1681</v>
      </c>
    </row>
    <row r="216" customFormat="false" ht="15" hidden="false" customHeight="false" outlineLevel="0" collapsed="false">
      <c r="A216" s="24" t="s">
        <v>282</v>
      </c>
      <c r="B216" s="24" t="s">
        <v>833</v>
      </c>
      <c r="C216" s="24" t="s">
        <v>1682</v>
      </c>
      <c r="D216" s="25" t="n">
        <v>2.35</v>
      </c>
      <c r="E216" s="24" t="s">
        <v>989</v>
      </c>
      <c r="F216" s="24" t="s">
        <v>990</v>
      </c>
      <c r="G216" s="24" t="s">
        <v>1016</v>
      </c>
      <c r="H216" s="25" t="n">
        <v>11.75</v>
      </c>
      <c r="I216" s="24" t="s">
        <v>828</v>
      </c>
      <c r="J216" s="24" t="s">
        <v>829</v>
      </c>
      <c r="K216" s="24" t="s">
        <v>1683</v>
      </c>
      <c r="L216" s="24" t="s">
        <v>831</v>
      </c>
      <c r="M216" s="24" t="s">
        <v>1684</v>
      </c>
    </row>
    <row r="217" customFormat="false" ht="15" hidden="false" customHeight="false" outlineLevel="0" collapsed="false">
      <c r="A217" s="24" t="s">
        <v>282</v>
      </c>
      <c r="B217" s="24" t="s">
        <v>40</v>
      </c>
      <c r="C217" s="24" t="s">
        <v>1685</v>
      </c>
      <c r="D217" s="25" t="n">
        <v>2.25</v>
      </c>
      <c r="E217" s="24" t="s">
        <v>997</v>
      </c>
      <c r="F217" s="24" t="s">
        <v>990</v>
      </c>
      <c r="G217" s="24" t="s">
        <v>1020</v>
      </c>
      <c r="H217" s="25" t="n">
        <v>11.25</v>
      </c>
      <c r="I217" s="24" t="s">
        <v>828</v>
      </c>
      <c r="J217" s="24" t="s">
        <v>829</v>
      </c>
      <c r="K217" s="24" t="s">
        <v>1686</v>
      </c>
      <c r="L217" s="24" t="s">
        <v>831</v>
      </c>
      <c r="M217" s="24" t="s">
        <v>1687</v>
      </c>
    </row>
    <row r="218" customFormat="false" ht="15" hidden="false" customHeight="false" outlineLevel="0" collapsed="false">
      <c r="A218" s="24" t="s">
        <v>286</v>
      </c>
      <c r="B218" s="24" t="s">
        <v>823</v>
      </c>
      <c r="C218" s="24" t="s">
        <v>1688</v>
      </c>
      <c r="D218" s="25" t="n">
        <v>3.1</v>
      </c>
      <c r="E218" s="24" t="s">
        <v>1144</v>
      </c>
      <c r="F218" s="24" t="s">
        <v>954</v>
      </c>
      <c r="G218" s="24" t="s">
        <v>1689</v>
      </c>
      <c r="H218" s="25" t="n">
        <v>10.33</v>
      </c>
      <c r="I218" s="24" t="s">
        <v>828</v>
      </c>
      <c r="J218" s="24" t="s">
        <v>829</v>
      </c>
      <c r="K218" s="24" t="s">
        <v>1690</v>
      </c>
      <c r="L218" s="24" t="s">
        <v>831</v>
      </c>
      <c r="M218" s="24"/>
    </row>
    <row r="219" customFormat="false" ht="15" hidden="false" customHeight="false" outlineLevel="0" collapsed="false">
      <c r="A219" s="24" t="s">
        <v>286</v>
      </c>
      <c r="B219" s="24" t="s">
        <v>833</v>
      </c>
      <c r="C219" s="24" t="s">
        <v>1691</v>
      </c>
      <c r="D219" s="25" t="n">
        <v>3.1</v>
      </c>
      <c r="E219" s="24" t="s">
        <v>1144</v>
      </c>
      <c r="F219" s="24" t="s">
        <v>954</v>
      </c>
      <c r="G219" s="24" t="s">
        <v>1689</v>
      </c>
      <c r="H219" s="25" t="n">
        <v>10.33</v>
      </c>
      <c r="I219" s="24" t="s">
        <v>828</v>
      </c>
      <c r="J219" s="24" t="s">
        <v>829</v>
      </c>
      <c r="K219" s="24" t="s">
        <v>1692</v>
      </c>
      <c r="L219" s="24" t="s">
        <v>831</v>
      </c>
      <c r="M219" s="24"/>
    </row>
    <row r="220" customFormat="false" ht="15" hidden="false" customHeight="false" outlineLevel="0" collapsed="false">
      <c r="A220" s="24" t="s">
        <v>286</v>
      </c>
      <c r="B220" s="24" t="s">
        <v>40</v>
      </c>
      <c r="C220" s="24" t="s">
        <v>1693</v>
      </c>
      <c r="D220" s="25" t="n">
        <v>3.1</v>
      </c>
      <c r="E220" s="24" t="s">
        <v>1257</v>
      </c>
      <c r="F220" s="24" t="s">
        <v>954</v>
      </c>
      <c r="G220" s="24" t="s">
        <v>1689</v>
      </c>
      <c r="H220" s="25" t="n">
        <v>10.33</v>
      </c>
      <c r="I220" s="24" t="s">
        <v>828</v>
      </c>
      <c r="J220" s="24" t="s">
        <v>829</v>
      </c>
      <c r="K220" s="24" t="s">
        <v>1694</v>
      </c>
      <c r="L220" s="24" t="s">
        <v>831</v>
      </c>
      <c r="M220" s="24"/>
    </row>
    <row r="221" customFormat="false" ht="15" hidden="false" customHeight="false" outlineLevel="0" collapsed="false">
      <c r="A221" s="24" t="s">
        <v>290</v>
      </c>
      <c r="B221" s="24" t="s">
        <v>823</v>
      </c>
      <c r="C221" s="24" t="s">
        <v>1695</v>
      </c>
      <c r="D221" s="25" t="n">
        <v>1.2</v>
      </c>
      <c r="E221" s="24" t="s">
        <v>1209</v>
      </c>
      <c r="F221" s="24" t="s">
        <v>1204</v>
      </c>
      <c r="G221" s="24" t="s">
        <v>1696</v>
      </c>
      <c r="H221" s="25" t="n">
        <v>12</v>
      </c>
      <c r="I221" s="24" t="s">
        <v>828</v>
      </c>
      <c r="J221" s="24" t="s">
        <v>829</v>
      </c>
      <c r="K221" s="24" t="s">
        <v>1697</v>
      </c>
      <c r="L221" s="24" t="s">
        <v>831</v>
      </c>
      <c r="M221" s="24"/>
    </row>
    <row r="222" customFormat="false" ht="15" hidden="false" customHeight="false" outlineLevel="0" collapsed="false">
      <c r="A222" s="24" t="s">
        <v>290</v>
      </c>
      <c r="B222" s="24" t="s">
        <v>833</v>
      </c>
      <c r="C222" s="24" t="s">
        <v>1698</v>
      </c>
      <c r="D222" s="25" t="n">
        <v>1.15</v>
      </c>
      <c r="E222" s="24" t="s">
        <v>1150</v>
      </c>
      <c r="F222" s="24" t="s">
        <v>1151</v>
      </c>
      <c r="G222" s="24" t="s">
        <v>1699</v>
      </c>
      <c r="H222" s="25" t="n">
        <v>23</v>
      </c>
      <c r="I222" s="24" t="s">
        <v>828</v>
      </c>
      <c r="J222" s="24" t="s">
        <v>829</v>
      </c>
      <c r="K222" s="24" t="s">
        <v>1700</v>
      </c>
      <c r="L222" s="24" t="s">
        <v>831</v>
      </c>
      <c r="M222" s="24" t="s">
        <v>1701</v>
      </c>
    </row>
    <row r="223" customFormat="false" ht="15" hidden="false" customHeight="false" outlineLevel="0" collapsed="false">
      <c r="A223" s="24" t="s">
        <v>290</v>
      </c>
      <c r="B223" s="24" t="s">
        <v>40</v>
      </c>
      <c r="C223" s="24" t="s">
        <v>1702</v>
      </c>
      <c r="D223" s="25" t="n">
        <v>1.2</v>
      </c>
      <c r="E223" s="24" t="s">
        <v>1214</v>
      </c>
      <c r="F223" s="24" t="s">
        <v>1204</v>
      </c>
      <c r="G223" s="24" t="s">
        <v>1696</v>
      </c>
      <c r="H223" s="25" t="n">
        <v>12</v>
      </c>
      <c r="I223" s="24" t="s">
        <v>828</v>
      </c>
      <c r="J223" s="24" t="s">
        <v>829</v>
      </c>
      <c r="K223" s="24" t="s">
        <v>1703</v>
      </c>
      <c r="L223" s="24" t="s">
        <v>831</v>
      </c>
      <c r="M223" s="24"/>
    </row>
    <row r="224" customFormat="false" ht="15" hidden="false" customHeight="false" outlineLevel="0" collapsed="false">
      <c r="A224" s="24" t="s">
        <v>294</v>
      </c>
      <c r="B224" s="24" t="s">
        <v>823</v>
      </c>
      <c r="C224" s="24" t="s">
        <v>1704</v>
      </c>
      <c r="D224" s="25" t="n">
        <v>2.55</v>
      </c>
      <c r="E224" s="24" t="s">
        <v>1108</v>
      </c>
      <c r="F224" s="24" t="s">
        <v>940</v>
      </c>
      <c r="G224" s="24" t="s">
        <v>1705</v>
      </c>
      <c r="H224" s="25" t="n">
        <v>17</v>
      </c>
      <c r="I224" s="24" t="s">
        <v>828</v>
      </c>
      <c r="J224" s="24" t="s">
        <v>829</v>
      </c>
      <c r="K224" s="24" t="s">
        <v>1706</v>
      </c>
      <c r="L224" s="24" t="s">
        <v>831</v>
      </c>
      <c r="M224" s="24"/>
    </row>
    <row r="225" customFormat="false" ht="15" hidden="false" customHeight="false" outlineLevel="0" collapsed="false">
      <c r="A225" s="24" t="s">
        <v>294</v>
      </c>
      <c r="B225" s="24" t="s">
        <v>833</v>
      </c>
      <c r="C225" s="24" t="s">
        <v>1707</v>
      </c>
      <c r="D225" s="25" t="n">
        <v>3.4</v>
      </c>
      <c r="E225" s="24" t="s">
        <v>989</v>
      </c>
      <c r="F225" s="24" t="s">
        <v>990</v>
      </c>
      <c r="G225" s="24" t="s">
        <v>1705</v>
      </c>
      <c r="H225" s="25" t="n">
        <v>17</v>
      </c>
      <c r="I225" s="24" t="s">
        <v>828</v>
      </c>
      <c r="J225" s="24" t="s">
        <v>829</v>
      </c>
      <c r="K225" s="24" t="s">
        <v>1708</v>
      </c>
      <c r="L225" s="24" t="s">
        <v>831</v>
      </c>
      <c r="M225" s="24"/>
    </row>
    <row r="226" customFormat="false" ht="15" hidden="false" customHeight="false" outlineLevel="0" collapsed="false">
      <c r="A226" s="24" t="s">
        <v>294</v>
      </c>
      <c r="B226" s="24" t="s">
        <v>40</v>
      </c>
      <c r="C226" s="24" t="s">
        <v>1709</v>
      </c>
      <c r="D226" s="25" t="n">
        <v>4.25</v>
      </c>
      <c r="E226" s="24" t="s">
        <v>1032</v>
      </c>
      <c r="F226" s="24" t="s">
        <v>1024</v>
      </c>
      <c r="G226" s="24" t="s">
        <v>1705</v>
      </c>
      <c r="H226" s="25" t="n">
        <v>17</v>
      </c>
      <c r="I226" s="24" t="s">
        <v>828</v>
      </c>
      <c r="J226" s="24" t="s">
        <v>829</v>
      </c>
      <c r="K226" s="24" t="s">
        <v>1710</v>
      </c>
      <c r="L226" s="24" t="s">
        <v>831</v>
      </c>
      <c r="M226" s="24"/>
    </row>
    <row r="227" customFormat="false" ht="15" hidden="false" customHeight="false" outlineLevel="0" collapsed="false">
      <c r="A227" s="24" t="s">
        <v>298</v>
      </c>
      <c r="B227" s="24" t="s">
        <v>823</v>
      </c>
      <c r="C227" s="24"/>
      <c r="D227" s="25"/>
      <c r="E227" s="24"/>
      <c r="F227" s="24"/>
      <c r="G227" s="24"/>
      <c r="H227" s="25"/>
      <c r="I227" s="24" t="s">
        <v>993</v>
      </c>
      <c r="J227" s="24" t="s">
        <v>928</v>
      </c>
      <c r="K227" s="24" t="s">
        <v>1711</v>
      </c>
      <c r="L227" s="24" t="s">
        <v>831</v>
      </c>
      <c r="M227" s="24" t="s">
        <v>1712</v>
      </c>
    </row>
    <row r="228" customFormat="false" ht="15" hidden="false" customHeight="false" outlineLevel="0" collapsed="false">
      <c r="A228" s="24" t="s">
        <v>298</v>
      </c>
      <c r="B228" s="24" t="s">
        <v>833</v>
      </c>
      <c r="C228" s="24" t="s">
        <v>1713</v>
      </c>
      <c r="D228" s="25" t="n">
        <v>2.7</v>
      </c>
      <c r="E228" s="24" t="s">
        <v>1023</v>
      </c>
      <c r="F228" s="24" t="s">
        <v>1024</v>
      </c>
      <c r="G228" s="24" t="s">
        <v>1714</v>
      </c>
      <c r="H228" s="25" t="n">
        <v>10.8</v>
      </c>
      <c r="I228" s="24" t="s">
        <v>828</v>
      </c>
      <c r="J228" s="24" t="s">
        <v>829</v>
      </c>
      <c r="K228" s="24" t="s">
        <v>1715</v>
      </c>
      <c r="L228" s="24" t="s">
        <v>831</v>
      </c>
      <c r="M228" s="24"/>
    </row>
    <row r="229" customFormat="false" ht="15" hidden="false" customHeight="false" outlineLevel="0" collapsed="false">
      <c r="A229" s="24" t="s">
        <v>298</v>
      </c>
      <c r="B229" s="24" t="s">
        <v>40</v>
      </c>
      <c r="C229" s="24" t="s">
        <v>1716</v>
      </c>
      <c r="D229" s="25" t="n">
        <v>2.1</v>
      </c>
      <c r="E229" s="24" t="s">
        <v>997</v>
      </c>
      <c r="F229" s="24" t="s">
        <v>990</v>
      </c>
      <c r="G229" s="24" t="s">
        <v>1717</v>
      </c>
      <c r="H229" s="25" t="n">
        <v>10.5</v>
      </c>
      <c r="I229" s="24" t="s">
        <v>828</v>
      </c>
      <c r="J229" s="24" t="s">
        <v>829</v>
      </c>
      <c r="K229" s="24" t="s">
        <v>1718</v>
      </c>
      <c r="L229" s="24" t="s">
        <v>831</v>
      </c>
      <c r="M229" s="24"/>
    </row>
    <row r="230" customFormat="false" ht="15" hidden="false" customHeight="false" outlineLevel="0" collapsed="false">
      <c r="A230" s="24" t="s">
        <v>302</v>
      </c>
      <c r="B230" s="24" t="s">
        <v>823</v>
      </c>
      <c r="C230" s="24" t="s">
        <v>1719</v>
      </c>
      <c r="D230" s="25" t="n">
        <v>1</v>
      </c>
      <c r="E230" s="24" t="s">
        <v>989</v>
      </c>
      <c r="F230" s="24" t="s">
        <v>990</v>
      </c>
      <c r="G230" s="24" t="s">
        <v>1720</v>
      </c>
      <c r="H230" s="25" t="n">
        <v>5</v>
      </c>
      <c r="I230" s="24" t="s">
        <v>828</v>
      </c>
      <c r="J230" s="24" t="s">
        <v>829</v>
      </c>
      <c r="K230" s="24" t="s">
        <v>1721</v>
      </c>
      <c r="L230" s="24" t="s">
        <v>831</v>
      </c>
      <c r="M230" s="24" t="s">
        <v>1722</v>
      </c>
    </row>
    <row r="231" customFormat="false" ht="15" hidden="false" customHeight="false" outlineLevel="0" collapsed="false">
      <c r="A231" s="24" t="s">
        <v>302</v>
      </c>
      <c r="B231" s="24" t="s">
        <v>833</v>
      </c>
      <c r="C231" s="24" t="s">
        <v>1723</v>
      </c>
      <c r="D231" s="25" t="n">
        <v>1.15</v>
      </c>
      <c r="E231" s="24" t="s">
        <v>1209</v>
      </c>
      <c r="F231" s="24" t="s">
        <v>1204</v>
      </c>
      <c r="G231" s="24" t="s">
        <v>1724</v>
      </c>
      <c r="H231" s="25" t="n">
        <v>11.5</v>
      </c>
      <c r="I231" s="24" t="s">
        <v>828</v>
      </c>
      <c r="J231" s="24" t="s">
        <v>829</v>
      </c>
      <c r="K231" s="24" t="s">
        <v>1725</v>
      </c>
      <c r="L231" s="24" t="s">
        <v>831</v>
      </c>
      <c r="M231" s="24" t="s">
        <v>1726</v>
      </c>
    </row>
    <row r="232" customFormat="false" ht="15" hidden="false" customHeight="false" outlineLevel="0" collapsed="false">
      <c r="A232" s="24" t="s">
        <v>302</v>
      </c>
      <c r="B232" s="24" t="s">
        <v>40</v>
      </c>
      <c r="C232" s="24" t="s">
        <v>1727</v>
      </c>
      <c r="D232" s="25" t="n">
        <v>2.25</v>
      </c>
      <c r="E232" s="24" t="s">
        <v>1257</v>
      </c>
      <c r="F232" s="24" t="s">
        <v>954</v>
      </c>
      <c r="G232" s="24" t="s">
        <v>1283</v>
      </c>
      <c r="H232" s="25" t="n">
        <v>7.5</v>
      </c>
      <c r="I232" s="24" t="s">
        <v>828</v>
      </c>
      <c r="J232" s="24" t="s">
        <v>829</v>
      </c>
      <c r="K232" s="24" t="s">
        <v>1728</v>
      </c>
      <c r="L232" s="24" t="s">
        <v>831</v>
      </c>
      <c r="M232" s="24" t="s">
        <v>1729</v>
      </c>
    </row>
    <row r="233" customFormat="false" ht="15" hidden="false" customHeight="false" outlineLevel="0" collapsed="false">
      <c r="A233" s="24" t="s">
        <v>306</v>
      </c>
      <c r="B233" s="24" t="s">
        <v>823</v>
      </c>
      <c r="C233" s="24" t="s">
        <v>1730</v>
      </c>
      <c r="D233" s="25" t="n">
        <v>2.1</v>
      </c>
      <c r="E233" s="24" t="s">
        <v>1108</v>
      </c>
      <c r="F233" s="24" t="s">
        <v>940</v>
      </c>
      <c r="G233" s="24" t="s">
        <v>1029</v>
      </c>
      <c r="H233" s="25" t="n">
        <v>14</v>
      </c>
      <c r="I233" s="24" t="s">
        <v>828</v>
      </c>
      <c r="J233" s="24" t="s">
        <v>829</v>
      </c>
      <c r="K233" s="24" t="s">
        <v>1731</v>
      </c>
      <c r="L233" s="24" t="s">
        <v>831</v>
      </c>
      <c r="M233" s="24" t="s">
        <v>1732</v>
      </c>
    </row>
    <row r="234" customFormat="false" ht="15" hidden="false" customHeight="false" outlineLevel="0" collapsed="false">
      <c r="A234" s="24" t="s">
        <v>306</v>
      </c>
      <c r="B234" s="24" t="s">
        <v>833</v>
      </c>
      <c r="C234" s="24" t="s">
        <v>1733</v>
      </c>
      <c r="D234" s="25" t="n">
        <v>1.9</v>
      </c>
      <c r="E234" s="24" t="s">
        <v>1209</v>
      </c>
      <c r="F234" s="24" t="s">
        <v>1204</v>
      </c>
      <c r="G234" s="24" t="s">
        <v>1734</v>
      </c>
      <c r="H234" s="25" t="n">
        <v>19</v>
      </c>
      <c r="I234" s="24" t="s">
        <v>828</v>
      </c>
      <c r="J234" s="24" t="s">
        <v>829</v>
      </c>
      <c r="K234" s="24" t="s">
        <v>1735</v>
      </c>
      <c r="L234" s="24" t="s">
        <v>831</v>
      </c>
      <c r="M234" s="24" t="s">
        <v>1736</v>
      </c>
    </row>
    <row r="235" customFormat="false" ht="15" hidden="false" customHeight="false" outlineLevel="0" collapsed="false">
      <c r="A235" s="24" t="s">
        <v>306</v>
      </c>
      <c r="B235" s="24" t="s">
        <v>40</v>
      </c>
      <c r="C235" s="24" t="s">
        <v>1737</v>
      </c>
      <c r="D235" s="25" t="n">
        <v>2.25</v>
      </c>
      <c r="E235" s="24" t="s">
        <v>997</v>
      </c>
      <c r="F235" s="24" t="s">
        <v>990</v>
      </c>
      <c r="G235" s="24" t="s">
        <v>1020</v>
      </c>
      <c r="H235" s="25" t="n">
        <v>11.25</v>
      </c>
      <c r="I235" s="24" t="s">
        <v>828</v>
      </c>
      <c r="J235" s="24" t="s">
        <v>829</v>
      </c>
      <c r="K235" s="24" t="s">
        <v>1738</v>
      </c>
      <c r="L235" s="24" t="s">
        <v>831</v>
      </c>
      <c r="M235" s="24" t="s">
        <v>1739</v>
      </c>
    </row>
    <row r="236" customFormat="false" ht="15" hidden="false" customHeight="false" outlineLevel="0" collapsed="false">
      <c r="A236" s="24" t="s">
        <v>310</v>
      </c>
      <c r="B236" s="24" t="s">
        <v>823</v>
      </c>
      <c r="C236" s="24" t="s">
        <v>1740</v>
      </c>
      <c r="D236" s="25" t="n">
        <v>1</v>
      </c>
      <c r="E236" s="24" t="s">
        <v>1741</v>
      </c>
      <c r="F236" s="24" t="s">
        <v>1194</v>
      </c>
      <c r="G236" s="24" t="s">
        <v>955</v>
      </c>
      <c r="H236" s="25" t="n">
        <v>2.5</v>
      </c>
      <c r="I236" s="24" t="s">
        <v>828</v>
      </c>
      <c r="J236" s="24" t="s">
        <v>829</v>
      </c>
      <c r="K236" s="24" t="s">
        <v>1742</v>
      </c>
      <c r="L236" s="24" t="s">
        <v>831</v>
      </c>
      <c r="M236" s="24"/>
    </row>
    <row r="237" customFormat="false" ht="15" hidden="false" customHeight="false" outlineLevel="0" collapsed="false">
      <c r="A237" s="24" t="s">
        <v>310</v>
      </c>
      <c r="B237" s="24" t="s">
        <v>833</v>
      </c>
      <c r="C237" s="24" t="s">
        <v>1743</v>
      </c>
      <c r="D237" s="25" t="n">
        <v>0.75</v>
      </c>
      <c r="E237" s="24" t="s">
        <v>1741</v>
      </c>
      <c r="F237" s="24" t="s">
        <v>1194</v>
      </c>
      <c r="G237" s="24" t="s">
        <v>1744</v>
      </c>
      <c r="H237" s="25" t="n">
        <v>1.88</v>
      </c>
      <c r="I237" s="24" t="s">
        <v>828</v>
      </c>
      <c r="J237" s="24" t="s">
        <v>829</v>
      </c>
      <c r="K237" s="24" t="s">
        <v>1745</v>
      </c>
      <c r="L237" s="24" t="s">
        <v>831</v>
      </c>
      <c r="M237" s="24"/>
    </row>
    <row r="238" customFormat="false" ht="15" hidden="false" customHeight="false" outlineLevel="0" collapsed="false">
      <c r="A238" s="24" t="s">
        <v>310</v>
      </c>
      <c r="B238" s="24" t="s">
        <v>40</v>
      </c>
      <c r="C238" s="24" t="s">
        <v>1746</v>
      </c>
      <c r="D238" s="25" t="n">
        <v>0.75</v>
      </c>
      <c r="E238" s="24" t="s">
        <v>1741</v>
      </c>
      <c r="F238" s="24" t="s">
        <v>1194</v>
      </c>
      <c r="G238" s="24" t="s">
        <v>1744</v>
      </c>
      <c r="H238" s="25" t="n">
        <v>1.88</v>
      </c>
      <c r="I238" s="24" t="s">
        <v>828</v>
      </c>
      <c r="J238" s="24" t="s">
        <v>829</v>
      </c>
      <c r="K238" s="24" t="s">
        <v>1747</v>
      </c>
      <c r="L238" s="24" t="s">
        <v>831</v>
      </c>
      <c r="M238" s="24" t="s">
        <v>963</v>
      </c>
    </row>
    <row r="239" customFormat="false" ht="15" hidden="false" customHeight="false" outlineLevel="0" collapsed="false">
      <c r="A239" s="24" t="s">
        <v>314</v>
      </c>
      <c r="B239" s="24" t="s">
        <v>823</v>
      </c>
      <c r="C239" s="24" t="s">
        <v>1748</v>
      </c>
      <c r="D239" s="25" t="n">
        <v>2.75</v>
      </c>
      <c r="E239" s="24" t="s">
        <v>989</v>
      </c>
      <c r="F239" s="24" t="s">
        <v>990</v>
      </c>
      <c r="G239" s="24" t="s">
        <v>1749</v>
      </c>
      <c r="H239" s="25" t="n">
        <v>13.75</v>
      </c>
      <c r="I239" s="24" t="s">
        <v>828</v>
      </c>
      <c r="J239" s="24" t="s">
        <v>829</v>
      </c>
      <c r="K239" s="24" t="s">
        <v>1750</v>
      </c>
      <c r="L239" s="24" t="s">
        <v>831</v>
      </c>
      <c r="M239" s="24" t="s">
        <v>1751</v>
      </c>
    </row>
    <row r="240" customFormat="false" ht="15" hidden="false" customHeight="false" outlineLevel="0" collapsed="false">
      <c r="A240" s="24" t="s">
        <v>314</v>
      </c>
      <c r="B240" s="24" t="s">
        <v>833</v>
      </c>
      <c r="C240" s="24" t="s">
        <v>1752</v>
      </c>
      <c r="D240" s="25" t="n">
        <v>1.35</v>
      </c>
      <c r="E240" s="24" t="s">
        <v>1209</v>
      </c>
      <c r="F240" s="24" t="s">
        <v>1204</v>
      </c>
      <c r="G240" s="24" t="s">
        <v>1753</v>
      </c>
      <c r="H240" s="25" t="n">
        <v>13.5</v>
      </c>
      <c r="I240" s="24" t="s">
        <v>828</v>
      </c>
      <c r="J240" s="24" t="s">
        <v>829</v>
      </c>
      <c r="K240" s="24" t="s">
        <v>1754</v>
      </c>
      <c r="L240" s="24" t="s">
        <v>831</v>
      </c>
      <c r="M240" s="24"/>
    </row>
    <row r="241" customFormat="false" ht="15" hidden="false" customHeight="false" outlineLevel="0" collapsed="false">
      <c r="A241" s="24" t="s">
        <v>314</v>
      </c>
      <c r="B241" s="24" t="s">
        <v>40</v>
      </c>
      <c r="C241" s="24" t="s">
        <v>1755</v>
      </c>
      <c r="D241" s="25" t="n">
        <v>2.25</v>
      </c>
      <c r="E241" s="24" t="s">
        <v>997</v>
      </c>
      <c r="F241" s="24" t="s">
        <v>990</v>
      </c>
      <c r="G241" s="24" t="s">
        <v>1020</v>
      </c>
      <c r="H241" s="25" t="n">
        <v>11.25</v>
      </c>
      <c r="I241" s="24" t="s">
        <v>828</v>
      </c>
      <c r="J241" s="24" t="s">
        <v>829</v>
      </c>
      <c r="K241" s="24" t="s">
        <v>1756</v>
      </c>
      <c r="L241" s="24" t="s">
        <v>831</v>
      </c>
      <c r="M241" s="24" t="s">
        <v>1757</v>
      </c>
    </row>
    <row r="242" customFormat="false" ht="15" hidden="false" customHeight="false" outlineLevel="0" collapsed="false">
      <c r="A242" s="24" t="s">
        <v>318</v>
      </c>
      <c r="B242" s="24" t="s">
        <v>823</v>
      </c>
      <c r="C242" s="24" t="s">
        <v>1758</v>
      </c>
      <c r="D242" s="25" t="n">
        <v>4</v>
      </c>
      <c r="E242" s="24" t="s">
        <v>1678</v>
      </c>
      <c r="F242" s="24" t="s">
        <v>1115</v>
      </c>
      <c r="G242" s="24" t="s">
        <v>1475</v>
      </c>
      <c r="H242" s="25" t="n">
        <v>22.22</v>
      </c>
      <c r="I242" s="24" t="s">
        <v>828</v>
      </c>
      <c r="J242" s="24" t="s">
        <v>829</v>
      </c>
      <c r="K242" s="24" t="s">
        <v>1759</v>
      </c>
      <c r="L242" s="24" t="s">
        <v>831</v>
      </c>
      <c r="M242" s="24" t="s">
        <v>1760</v>
      </c>
    </row>
    <row r="243" customFormat="false" ht="15" hidden="false" customHeight="false" outlineLevel="0" collapsed="false">
      <c r="A243" s="24" t="s">
        <v>318</v>
      </c>
      <c r="B243" s="24" t="s">
        <v>833</v>
      </c>
      <c r="C243" s="24" t="s">
        <v>1761</v>
      </c>
      <c r="D243" s="25" t="n">
        <v>3.95</v>
      </c>
      <c r="E243" s="24" t="s">
        <v>1678</v>
      </c>
      <c r="F243" s="24" t="s">
        <v>1115</v>
      </c>
      <c r="G243" s="24" t="s">
        <v>1762</v>
      </c>
      <c r="H243" s="25" t="n">
        <v>21.94</v>
      </c>
      <c r="I243" s="24" t="s">
        <v>828</v>
      </c>
      <c r="J243" s="24" t="s">
        <v>829</v>
      </c>
      <c r="K243" s="24" t="s">
        <v>1763</v>
      </c>
      <c r="L243" s="24" t="s">
        <v>831</v>
      </c>
      <c r="M243" s="24"/>
    </row>
    <row r="244" customFormat="false" ht="15" hidden="false" customHeight="false" outlineLevel="0" collapsed="false">
      <c r="A244" s="24" t="s">
        <v>318</v>
      </c>
      <c r="B244" s="24" t="s">
        <v>40</v>
      </c>
      <c r="C244" s="24" t="s">
        <v>1764</v>
      </c>
      <c r="D244" s="25" t="n">
        <v>3.95</v>
      </c>
      <c r="E244" s="24" t="s">
        <v>1765</v>
      </c>
      <c r="F244" s="24" t="s">
        <v>1272</v>
      </c>
      <c r="G244" s="24" t="s">
        <v>1766</v>
      </c>
      <c r="H244" s="25" t="n">
        <v>24.69</v>
      </c>
      <c r="I244" s="24" t="s">
        <v>828</v>
      </c>
      <c r="J244" s="24" t="s">
        <v>829</v>
      </c>
      <c r="K244" s="24" t="s">
        <v>1767</v>
      </c>
      <c r="L244" s="24" t="s">
        <v>831</v>
      </c>
      <c r="M244" s="24"/>
    </row>
    <row r="245" customFormat="false" ht="15" hidden="false" customHeight="false" outlineLevel="0" collapsed="false">
      <c r="A245" s="24" t="s">
        <v>322</v>
      </c>
      <c r="B245" s="24" t="s">
        <v>823</v>
      </c>
      <c r="C245" s="24" t="s">
        <v>1768</v>
      </c>
      <c r="D245" s="25" t="n">
        <v>0.55</v>
      </c>
      <c r="E245" s="24" t="s">
        <v>1769</v>
      </c>
      <c r="F245" s="24" t="s">
        <v>1204</v>
      </c>
      <c r="G245" s="24" t="s">
        <v>1770</v>
      </c>
      <c r="H245" s="25" t="n">
        <v>5.5</v>
      </c>
      <c r="I245" s="24" t="s">
        <v>828</v>
      </c>
      <c r="J245" s="24" t="s">
        <v>829</v>
      </c>
      <c r="K245" s="24" t="s">
        <v>1771</v>
      </c>
      <c r="L245" s="24" t="s">
        <v>831</v>
      </c>
      <c r="M245" s="24" t="s">
        <v>1772</v>
      </c>
    </row>
    <row r="246" customFormat="false" ht="15" hidden="false" customHeight="false" outlineLevel="0" collapsed="false">
      <c r="A246" s="24" t="s">
        <v>322</v>
      </c>
      <c r="B246" s="24" t="s">
        <v>833</v>
      </c>
      <c r="C246" s="24" t="s">
        <v>1773</v>
      </c>
      <c r="D246" s="25" t="n">
        <v>3.75</v>
      </c>
      <c r="E246" s="24" t="s">
        <v>1774</v>
      </c>
      <c r="F246" s="24"/>
      <c r="G246" s="24" t="s">
        <v>1775</v>
      </c>
      <c r="H246" s="25" t="n">
        <v>9.79</v>
      </c>
      <c r="I246" s="24" t="s">
        <v>1776</v>
      </c>
      <c r="J246" s="24" t="s">
        <v>829</v>
      </c>
      <c r="K246" s="24" t="s">
        <v>1777</v>
      </c>
      <c r="L246" s="24" t="s">
        <v>831</v>
      </c>
      <c r="M246" s="24" t="s">
        <v>1778</v>
      </c>
    </row>
    <row r="247" customFormat="false" ht="15" hidden="false" customHeight="false" outlineLevel="0" collapsed="false">
      <c r="A247" s="24" t="s">
        <v>322</v>
      </c>
      <c r="B247" s="24" t="s">
        <v>40</v>
      </c>
      <c r="C247" s="24"/>
      <c r="D247" s="25"/>
      <c r="E247" s="24"/>
      <c r="F247" s="24"/>
      <c r="G247" s="24"/>
      <c r="H247" s="25"/>
      <c r="I247" s="24" t="s">
        <v>993</v>
      </c>
      <c r="J247" s="24" t="s">
        <v>928</v>
      </c>
      <c r="K247" s="24"/>
      <c r="L247" s="24" t="s">
        <v>831</v>
      </c>
      <c r="M247" s="24" t="s">
        <v>1779</v>
      </c>
    </row>
    <row r="248" customFormat="false" ht="15" hidden="false" customHeight="false" outlineLevel="0" collapsed="false">
      <c r="A248" s="24" t="s">
        <v>715</v>
      </c>
      <c r="B248" s="24" t="s">
        <v>823</v>
      </c>
      <c r="C248" s="24" t="s">
        <v>1780</v>
      </c>
      <c r="D248" s="25" t="n">
        <v>0.8</v>
      </c>
      <c r="E248" s="24" t="s">
        <v>1781</v>
      </c>
      <c r="F248" s="24" t="s">
        <v>1782</v>
      </c>
      <c r="G248" s="24" t="s">
        <v>1783</v>
      </c>
      <c r="H248" s="25" t="n">
        <v>7.84</v>
      </c>
      <c r="I248" s="24" t="s">
        <v>828</v>
      </c>
      <c r="J248" s="24" t="s">
        <v>829</v>
      </c>
      <c r="K248" s="24" t="s">
        <v>1784</v>
      </c>
      <c r="L248" s="24" t="s">
        <v>831</v>
      </c>
      <c r="M248" s="24" t="s">
        <v>1785</v>
      </c>
    </row>
    <row r="249" customFormat="false" ht="15" hidden="false" customHeight="false" outlineLevel="0" collapsed="false">
      <c r="A249" s="24" t="s">
        <v>715</v>
      </c>
      <c r="B249" s="24" t="s">
        <v>833</v>
      </c>
      <c r="C249" s="24"/>
      <c r="D249" s="25"/>
      <c r="E249" s="24" t="s">
        <v>1786</v>
      </c>
      <c r="F249" s="24"/>
      <c r="G249" s="24"/>
      <c r="H249" s="25"/>
      <c r="I249" s="24" t="s">
        <v>993</v>
      </c>
      <c r="J249" s="24" t="s">
        <v>928</v>
      </c>
      <c r="K249" s="24" t="s">
        <v>1787</v>
      </c>
      <c r="L249" s="24" t="s">
        <v>831</v>
      </c>
      <c r="M249" s="24" t="s">
        <v>1788</v>
      </c>
    </row>
    <row r="250" customFormat="false" ht="15" hidden="false" customHeight="false" outlineLevel="0" collapsed="false">
      <c r="A250" s="24" t="s">
        <v>715</v>
      </c>
      <c r="B250" s="24" t="s">
        <v>40</v>
      </c>
      <c r="C250" s="24" t="s">
        <v>1789</v>
      </c>
      <c r="D250" s="25" t="n">
        <v>0.65</v>
      </c>
      <c r="E250" s="24" t="s">
        <v>1781</v>
      </c>
      <c r="F250" s="24" t="s">
        <v>1782</v>
      </c>
      <c r="G250" s="24" t="s">
        <v>1790</v>
      </c>
      <c r="H250" s="25" t="n">
        <v>6.37</v>
      </c>
      <c r="I250" s="24" t="s">
        <v>828</v>
      </c>
      <c r="J250" s="24" t="s">
        <v>829</v>
      </c>
      <c r="K250" s="24" t="s">
        <v>1791</v>
      </c>
      <c r="L250" s="24" t="s">
        <v>831</v>
      </c>
      <c r="M250" s="24" t="s">
        <v>1792</v>
      </c>
    </row>
    <row r="251" customFormat="false" ht="15" hidden="false" customHeight="false" outlineLevel="0" collapsed="false">
      <c r="A251" s="24" t="s">
        <v>719</v>
      </c>
      <c r="B251" s="24" t="s">
        <v>823</v>
      </c>
      <c r="C251" s="24" t="s">
        <v>1793</v>
      </c>
      <c r="D251" s="25" t="n">
        <v>0.8</v>
      </c>
      <c r="E251" s="24" t="s">
        <v>1781</v>
      </c>
      <c r="F251" s="24" t="s">
        <v>1782</v>
      </c>
      <c r="G251" s="24" t="s">
        <v>1783</v>
      </c>
      <c r="H251" s="25" t="n">
        <v>7.84</v>
      </c>
      <c r="I251" s="24" t="s">
        <v>828</v>
      </c>
      <c r="J251" s="24" t="s">
        <v>829</v>
      </c>
      <c r="K251" s="24" t="s">
        <v>1794</v>
      </c>
      <c r="L251" s="24" t="s">
        <v>831</v>
      </c>
      <c r="M251" s="24" t="s">
        <v>1785</v>
      </c>
    </row>
    <row r="252" customFormat="false" ht="15" hidden="false" customHeight="false" outlineLevel="0" collapsed="false">
      <c r="A252" s="24" t="s">
        <v>719</v>
      </c>
      <c r="B252" s="24" t="s">
        <v>833</v>
      </c>
      <c r="C252" s="24" t="s">
        <v>1795</v>
      </c>
      <c r="D252" s="25" t="n">
        <v>0.65</v>
      </c>
      <c r="E252" s="24" t="s">
        <v>1796</v>
      </c>
      <c r="F252" s="24"/>
      <c r="G252" s="24" t="s">
        <v>1797</v>
      </c>
      <c r="H252" s="25"/>
      <c r="I252" s="24" t="s">
        <v>1798</v>
      </c>
      <c r="J252" s="24" t="s">
        <v>928</v>
      </c>
      <c r="K252" s="24" t="s">
        <v>1799</v>
      </c>
      <c r="L252" s="24" t="s">
        <v>831</v>
      </c>
      <c r="M252" s="24" t="s">
        <v>1800</v>
      </c>
    </row>
    <row r="253" customFormat="false" ht="15" hidden="false" customHeight="false" outlineLevel="0" collapsed="false">
      <c r="A253" s="24" t="s">
        <v>719</v>
      </c>
      <c r="B253" s="24" t="s">
        <v>40</v>
      </c>
      <c r="C253" s="24" t="s">
        <v>1801</v>
      </c>
      <c r="D253" s="25" t="n">
        <v>0.65</v>
      </c>
      <c r="E253" s="24" t="s">
        <v>1781</v>
      </c>
      <c r="F253" s="24" t="s">
        <v>1782</v>
      </c>
      <c r="G253" s="24" t="s">
        <v>1790</v>
      </c>
      <c r="H253" s="25" t="n">
        <v>6.37</v>
      </c>
      <c r="I253" s="24" t="s">
        <v>828</v>
      </c>
      <c r="J253" s="24" t="s">
        <v>829</v>
      </c>
      <c r="K253" s="24" t="s">
        <v>1802</v>
      </c>
      <c r="L253" s="24" t="s">
        <v>831</v>
      </c>
      <c r="M253" s="24" t="s">
        <v>1792</v>
      </c>
    </row>
    <row r="254" customFormat="false" ht="15" hidden="false" customHeight="false" outlineLevel="0" collapsed="false">
      <c r="A254" s="24" t="s">
        <v>326</v>
      </c>
      <c r="B254" s="24" t="s">
        <v>823</v>
      </c>
      <c r="C254" s="24" t="s">
        <v>1803</v>
      </c>
      <c r="D254" s="25" t="n">
        <v>0.6</v>
      </c>
      <c r="E254" s="24" t="s">
        <v>1804</v>
      </c>
      <c r="F254" s="24" t="s">
        <v>1543</v>
      </c>
      <c r="G254" s="24" t="s">
        <v>1346</v>
      </c>
      <c r="H254" s="25" t="n">
        <v>6.67</v>
      </c>
      <c r="I254" s="24" t="s">
        <v>828</v>
      </c>
      <c r="J254" s="24" t="s">
        <v>829</v>
      </c>
      <c r="K254" s="24" t="s">
        <v>1805</v>
      </c>
      <c r="L254" s="24" t="s">
        <v>831</v>
      </c>
      <c r="M254" s="24" t="s">
        <v>1806</v>
      </c>
    </row>
    <row r="255" customFormat="false" ht="15" hidden="false" customHeight="false" outlineLevel="0" collapsed="false">
      <c r="A255" s="24" t="s">
        <v>326</v>
      </c>
      <c r="B255" s="24" t="s">
        <v>833</v>
      </c>
      <c r="C255" s="24" t="s">
        <v>1807</v>
      </c>
      <c r="D255" s="25" t="n">
        <v>0.85</v>
      </c>
      <c r="E255" s="24" t="s">
        <v>1808</v>
      </c>
      <c r="F255" s="24" t="s">
        <v>1809</v>
      </c>
      <c r="G255" s="24" t="s">
        <v>1141</v>
      </c>
      <c r="H255" s="25" t="n">
        <v>10</v>
      </c>
      <c r="I255" s="24" t="s">
        <v>828</v>
      </c>
      <c r="J255" s="24" t="s">
        <v>829</v>
      </c>
      <c r="K255" s="24" t="s">
        <v>1810</v>
      </c>
      <c r="L255" s="24" t="s">
        <v>831</v>
      </c>
      <c r="M255" s="24" t="s">
        <v>1811</v>
      </c>
    </row>
    <row r="256" customFormat="false" ht="15" hidden="false" customHeight="false" outlineLevel="0" collapsed="false">
      <c r="A256" s="24" t="s">
        <v>326</v>
      </c>
      <c r="B256" s="24" t="s">
        <v>40</v>
      </c>
      <c r="C256" s="24" t="s">
        <v>1807</v>
      </c>
      <c r="D256" s="25" t="n">
        <v>0.75</v>
      </c>
      <c r="E256" s="24" t="s">
        <v>1812</v>
      </c>
      <c r="F256" s="24" t="s">
        <v>1809</v>
      </c>
      <c r="G256" s="24" t="s">
        <v>1813</v>
      </c>
      <c r="H256" s="25" t="n">
        <v>8.82</v>
      </c>
      <c r="I256" s="24" t="s">
        <v>828</v>
      </c>
      <c r="J256" s="24" t="s">
        <v>829</v>
      </c>
      <c r="K256" s="24" t="s">
        <v>1814</v>
      </c>
      <c r="L256" s="24" t="s">
        <v>831</v>
      </c>
      <c r="M256" s="24" t="s">
        <v>1815</v>
      </c>
    </row>
    <row r="257" customFormat="false" ht="15" hidden="false" customHeight="false" outlineLevel="0" collapsed="false">
      <c r="A257" s="24" t="s">
        <v>330</v>
      </c>
      <c r="B257" s="24" t="s">
        <v>823</v>
      </c>
      <c r="C257" s="24" t="s">
        <v>1816</v>
      </c>
      <c r="D257" s="25" t="n">
        <v>3.8</v>
      </c>
      <c r="E257" s="24" t="s">
        <v>953</v>
      </c>
      <c r="F257" s="24" t="s">
        <v>1817</v>
      </c>
      <c r="G257" s="24" t="s">
        <v>1818</v>
      </c>
      <c r="H257" s="25" t="n">
        <v>13.77</v>
      </c>
      <c r="I257" s="24" t="s">
        <v>828</v>
      </c>
      <c r="J257" s="24" t="s">
        <v>829</v>
      </c>
      <c r="K257" s="24" t="s">
        <v>1819</v>
      </c>
      <c r="L257" s="24" t="s">
        <v>831</v>
      </c>
      <c r="M257" s="24"/>
    </row>
    <row r="258" customFormat="false" ht="15" hidden="false" customHeight="false" outlineLevel="0" collapsed="false">
      <c r="A258" s="24" t="s">
        <v>330</v>
      </c>
      <c r="B258" s="24" t="s">
        <v>833</v>
      </c>
      <c r="C258" s="24" t="s">
        <v>1820</v>
      </c>
      <c r="D258" s="25" t="n">
        <v>3.5</v>
      </c>
      <c r="E258" s="24" t="s">
        <v>1613</v>
      </c>
      <c r="F258" s="24" t="s">
        <v>1821</v>
      </c>
      <c r="G258" s="24" t="s">
        <v>1822</v>
      </c>
      <c r="H258" s="25" t="n">
        <v>7.61</v>
      </c>
      <c r="I258" s="24" t="s">
        <v>828</v>
      </c>
      <c r="J258" s="24" t="s">
        <v>829</v>
      </c>
      <c r="K258" s="24" t="s">
        <v>1823</v>
      </c>
      <c r="L258" s="24" t="s">
        <v>831</v>
      </c>
      <c r="M258" s="24" t="s">
        <v>1824</v>
      </c>
    </row>
    <row r="259" customFormat="false" ht="15" hidden="false" customHeight="false" outlineLevel="0" collapsed="false">
      <c r="A259" s="24" t="s">
        <v>330</v>
      </c>
      <c r="B259" s="24" t="s">
        <v>40</v>
      </c>
      <c r="C259" s="24" t="s">
        <v>1825</v>
      </c>
      <c r="D259" s="25" t="n">
        <v>4</v>
      </c>
      <c r="E259" s="24" t="s">
        <v>1826</v>
      </c>
      <c r="F259" s="24" t="s">
        <v>1827</v>
      </c>
      <c r="G259" s="24" t="s">
        <v>1828</v>
      </c>
      <c r="H259" s="25" t="n">
        <v>15.53</v>
      </c>
      <c r="I259" s="24" t="s">
        <v>828</v>
      </c>
      <c r="J259" s="24" t="s">
        <v>829</v>
      </c>
      <c r="K259" s="24" t="s">
        <v>1829</v>
      </c>
      <c r="L259" s="24" t="s">
        <v>831</v>
      </c>
      <c r="M259" s="24" t="s">
        <v>1830</v>
      </c>
    </row>
    <row r="260" customFormat="false" ht="15" hidden="false" customHeight="false" outlineLevel="0" collapsed="false">
      <c r="A260" s="24" t="s">
        <v>727</v>
      </c>
      <c r="B260" s="24" t="s">
        <v>823</v>
      </c>
      <c r="C260" s="24" t="s">
        <v>1831</v>
      </c>
      <c r="D260" s="25" t="n">
        <v>2.95</v>
      </c>
      <c r="E260" s="24" t="s">
        <v>1000</v>
      </c>
      <c r="F260" s="24" t="s">
        <v>1832</v>
      </c>
      <c r="G260" s="24" t="s">
        <v>1833</v>
      </c>
      <c r="H260" s="25" t="n">
        <v>3.21</v>
      </c>
      <c r="I260" s="24" t="s">
        <v>927</v>
      </c>
      <c r="J260" s="24" t="s">
        <v>928</v>
      </c>
      <c r="K260" s="24" t="s">
        <v>1834</v>
      </c>
      <c r="L260" s="24" t="s">
        <v>831</v>
      </c>
      <c r="M260" s="24" t="s">
        <v>1835</v>
      </c>
    </row>
    <row r="261" customFormat="false" ht="15" hidden="false" customHeight="false" outlineLevel="0" collapsed="false">
      <c r="A261" s="24" t="s">
        <v>727</v>
      </c>
      <c r="B261" s="24" t="s">
        <v>833</v>
      </c>
      <c r="C261" s="24" t="s">
        <v>1836</v>
      </c>
      <c r="D261" s="25" t="n">
        <v>3.75</v>
      </c>
      <c r="E261" s="24" t="s">
        <v>1000</v>
      </c>
      <c r="F261" s="24" t="s">
        <v>1832</v>
      </c>
      <c r="G261" s="24" t="s">
        <v>1837</v>
      </c>
      <c r="H261" s="25" t="n">
        <v>4.08</v>
      </c>
      <c r="I261" s="24" t="s">
        <v>927</v>
      </c>
      <c r="J261" s="24" t="s">
        <v>928</v>
      </c>
      <c r="K261" s="24" t="s">
        <v>1838</v>
      </c>
      <c r="L261" s="24" t="s">
        <v>831</v>
      </c>
      <c r="M261" s="24" t="s">
        <v>1839</v>
      </c>
    </row>
    <row r="262" customFormat="false" ht="15" hidden="false" customHeight="false" outlineLevel="0" collapsed="false">
      <c r="A262" s="24" t="s">
        <v>727</v>
      </c>
      <c r="B262" s="24" t="s">
        <v>40</v>
      </c>
      <c r="C262" s="24" t="s">
        <v>1840</v>
      </c>
      <c r="D262" s="25" t="n">
        <v>3</v>
      </c>
      <c r="E262" s="24" t="s">
        <v>1000</v>
      </c>
      <c r="F262" s="24" t="s">
        <v>1832</v>
      </c>
      <c r="G262" s="24" t="s">
        <v>1841</v>
      </c>
      <c r="H262" s="25" t="n">
        <v>3.26</v>
      </c>
      <c r="I262" s="24" t="s">
        <v>927</v>
      </c>
      <c r="J262" s="24" t="s">
        <v>928</v>
      </c>
      <c r="K262" s="24" t="s">
        <v>1842</v>
      </c>
      <c r="L262" s="24" t="s">
        <v>831</v>
      </c>
      <c r="M262" s="24" t="s">
        <v>1843</v>
      </c>
    </row>
    <row r="263" customFormat="false" ht="15" hidden="false" customHeight="false" outlineLevel="0" collapsed="false">
      <c r="A263" s="24" t="s">
        <v>334</v>
      </c>
      <c r="B263" s="24" t="s">
        <v>823</v>
      </c>
      <c r="C263" s="24" t="s">
        <v>1844</v>
      </c>
      <c r="D263" s="25" t="n">
        <v>2.65</v>
      </c>
      <c r="E263" s="24" t="s">
        <v>1605</v>
      </c>
      <c r="F263" s="24" t="s">
        <v>1845</v>
      </c>
      <c r="G263" s="24" t="s">
        <v>1846</v>
      </c>
      <c r="H263" s="25" t="n">
        <v>11.52</v>
      </c>
      <c r="I263" s="24" t="s">
        <v>828</v>
      </c>
      <c r="J263" s="24" t="s">
        <v>829</v>
      </c>
      <c r="K263" s="24" t="s">
        <v>1847</v>
      </c>
      <c r="L263" s="24" t="s">
        <v>831</v>
      </c>
      <c r="M263" s="24" t="s">
        <v>1848</v>
      </c>
    </row>
    <row r="264" customFormat="false" ht="15" hidden="false" customHeight="false" outlineLevel="0" collapsed="false">
      <c r="A264" s="24" t="s">
        <v>334</v>
      </c>
      <c r="B264" s="24" t="s">
        <v>833</v>
      </c>
      <c r="C264" s="24" t="s">
        <v>1849</v>
      </c>
      <c r="D264" s="25" t="n">
        <v>2.75</v>
      </c>
      <c r="E264" s="24" t="s">
        <v>1605</v>
      </c>
      <c r="F264" s="24" t="s">
        <v>1845</v>
      </c>
      <c r="G264" s="24" t="s">
        <v>1850</v>
      </c>
      <c r="H264" s="25" t="n">
        <v>11.96</v>
      </c>
      <c r="I264" s="24" t="s">
        <v>828</v>
      </c>
      <c r="J264" s="24" t="s">
        <v>829</v>
      </c>
      <c r="K264" s="24" t="s">
        <v>1851</v>
      </c>
      <c r="L264" s="24" t="s">
        <v>831</v>
      </c>
      <c r="M264" s="24" t="s">
        <v>1852</v>
      </c>
    </row>
    <row r="265" customFormat="false" ht="15" hidden="false" customHeight="false" outlineLevel="0" collapsed="false">
      <c r="A265" s="24" t="s">
        <v>334</v>
      </c>
      <c r="B265" s="24" t="s">
        <v>40</v>
      </c>
      <c r="C265" s="24" t="s">
        <v>1853</v>
      </c>
      <c r="D265" s="25" t="n">
        <v>2.65</v>
      </c>
      <c r="E265" s="24" t="s">
        <v>1605</v>
      </c>
      <c r="F265" s="24" t="s">
        <v>1845</v>
      </c>
      <c r="G265" s="24" t="s">
        <v>1846</v>
      </c>
      <c r="H265" s="25" t="n">
        <v>11.52</v>
      </c>
      <c r="I265" s="24" t="s">
        <v>828</v>
      </c>
      <c r="J265" s="24" t="s">
        <v>829</v>
      </c>
      <c r="K265" s="24" t="s">
        <v>1854</v>
      </c>
      <c r="L265" s="24" t="s">
        <v>831</v>
      </c>
      <c r="M265" s="24" t="s">
        <v>1852</v>
      </c>
    </row>
    <row r="266" customFormat="false" ht="15" hidden="false" customHeight="false" outlineLevel="0" collapsed="false">
      <c r="A266" s="24" t="s">
        <v>338</v>
      </c>
      <c r="B266" s="24" t="s">
        <v>823</v>
      </c>
      <c r="C266" s="24" t="s">
        <v>1855</v>
      </c>
      <c r="D266" s="25" t="n">
        <v>1.45</v>
      </c>
      <c r="E266" s="24" t="s">
        <v>1000</v>
      </c>
      <c r="F266" s="24" t="s">
        <v>1832</v>
      </c>
      <c r="G266" s="24" t="s">
        <v>1856</v>
      </c>
      <c r="H266" s="25" t="n">
        <v>1.58</v>
      </c>
      <c r="I266" s="24" t="s">
        <v>828</v>
      </c>
      <c r="J266" s="24" t="s">
        <v>829</v>
      </c>
      <c r="K266" s="24" t="s">
        <v>1857</v>
      </c>
      <c r="L266" s="24" t="s">
        <v>831</v>
      </c>
      <c r="M266" s="24"/>
    </row>
    <row r="267" customFormat="false" ht="15" hidden="false" customHeight="false" outlineLevel="0" collapsed="false">
      <c r="A267" s="24" t="s">
        <v>338</v>
      </c>
      <c r="B267" s="24" t="s">
        <v>833</v>
      </c>
      <c r="C267" s="24" t="s">
        <v>1858</v>
      </c>
      <c r="D267" s="25" t="n">
        <v>1.45</v>
      </c>
      <c r="E267" s="24" t="s">
        <v>1000</v>
      </c>
      <c r="F267" s="24" t="s">
        <v>1832</v>
      </c>
      <c r="G267" s="24" t="s">
        <v>1859</v>
      </c>
      <c r="H267" s="25" t="n">
        <v>1.58</v>
      </c>
      <c r="I267" s="24" t="s">
        <v>828</v>
      </c>
      <c r="J267" s="24" t="s">
        <v>829</v>
      </c>
      <c r="K267" s="24" t="s">
        <v>1860</v>
      </c>
      <c r="L267" s="24" t="s">
        <v>831</v>
      </c>
      <c r="M267" s="24" t="s">
        <v>1861</v>
      </c>
    </row>
    <row r="268" customFormat="false" ht="15" hidden="false" customHeight="false" outlineLevel="0" collapsed="false">
      <c r="A268" s="24" t="s">
        <v>338</v>
      </c>
      <c r="B268" s="24" t="s">
        <v>40</v>
      </c>
      <c r="C268" s="24" t="s">
        <v>1862</v>
      </c>
      <c r="D268" s="25" t="n">
        <v>1.45</v>
      </c>
      <c r="E268" s="24" t="s">
        <v>1000</v>
      </c>
      <c r="F268" s="24" t="s">
        <v>1832</v>
      </c>
      <c r="G268" s="24" t="s">
        <v>1856</v>
      </c>
      <c r="H268" s="25" t="n">
        <v>1.58</v>
      </c>
      <c r="I268" s="24" t="s">
        <v>828</v>
      </c>
      <c r="J268" s="24" t="s">
        <v>829</v>
      </c>
      <c r="K268" s="24" t="s">
        <v>1863</v>
      </c>
      <c r="L268" s="24" t="s">
        <v>831</v>
      </c>
      <c r="M268" s="24"/>
    </row>
    <row r="269" customFormat="false" ht="15" hidden="false" customHeight="false" outlineLevel="0" collapsed="false">
      <c r="A269" s="24" t="s">
        <v>342</v>
      </c>
      <c r="B269" s="24" t="s">
        <v>823</v>
      </c>
      <c r="C269" s="24" t="s">
        <v>1864</v>
      </c>
      <c r="D269" s="25" t="n">
        <v>2.15</v>
      </c>
      <c r="E269" s="24" t="s">
        <v>825</v>
      </c>
      <c r="F269" s="24" t="s">
        <v>826</v>
      </c>
      <c r="G269" s="24" t="s">
        <v>1865</v>
      </c>
      <c r="H269" s="25" t="n">
        <v>4.3</v>
      </c>
      <c r="I269" s="24" t="s">
        <v>828</v>
      </c>
      <c r="J269" s="24" t="s">
        <v>829</v>
      </c>
      <c r="K269" s="24" t="s">
        <v>1866</v>
      </c>
      <c r="L269" s="24" t="s">
        <v>831</v>
      </c>
      <c r="M269" s="24" t="s">
        <v>1867</v>
      </c>
    </row>
    <row r="270" customFormat="false" ht="15" hidden="false" customHeight="false" outlineLevel="0" collapsed="false">
      <c r="A270" s="24" t="s">
        <v>342</v>
      </c>
      <c r="B270" s="24" t="s">
        <v>833</v>
      </c>
      <c r="C270" s="24" t="s">
        <v>1868</v>
      </c>
      <c r="D270" s="25" t="n">
        <v>2.05</v>
      </c>
      <c r="E270" s="24" t="s">
        <v>825</v>
      </c>
      <c r="F270" s="24" t="s">
        <v>826</v>
      </c>
      <c r="G270" s="24" t="s">
        <v>1869</v>
      </c>
      <c r="H270" s="25" t="n">
        <v>4.1</v>
      </c>
      <c r="I270" s="24" t="s">
        <v>828</v>
      </c>
      <c r="J270" s="24" t="s">
        <v>829</v>
      </c>
      <c r="K270" s="24" t="s">
        <v>1870</v>
      </c>
      <c r="L270" s="24" t="s">
        <v>831</v>
      </c>
      <c r="M270" s="24" t="s">
        <v>1871</v>
      </c>
    </row>
    <row r="271" customFormat="false" ht="15" hidden="false" customHeight="false" outlineLevel="0" collapsed="false">
      <c r="A271" s="24" t="s">
        <v>342</v>
      </c>
      <c r="B271" s="24" t="s">
        <v>40</v>
      </c>
      <c r="C271" s="24" t="s">
        <v>1872</v>
      </c>
      <c r="D271" s="25" t="n">
        <v>2</v>
      </c>
      <c r="E271" s="24" t="s">
        <v>825</v>
      </c>
      <c r="F271" s="24" t="s">
        <v>826</v>
      </c>
      <c r="G271" s="24" t="s">
        <v>1873</v>
      </c>
      <c r="H271" s="25" t="n">
        <v>4</v>
      </c>
      <c r="I271" s="24" t="s">
        <v>828</v>
      </c>
      <c r="J271" s="24" t="s">
        <v>829</v>
      </c>
      <c r="K271" s="24" t="s">
        <v>1874</v>
      </c>
      <c r="L271" s="24" t="s">
        <v>831</v>
      </c>
      <c r="M271" s="24" t="s">
        <v>1875</v>
      </c>
    </row>
    <row r="272" customFormat="false" ht="15" hidden="false" customHeight="false" outlineLevel="0" collapsed="false">
      <c r="A272" s="24" t="s">
        <v>346</v>
      </c>
      <c r="B272" s="24" t="s">
        <v>823</v>
      </c>
      <c r="C272" s="24" t="s">
        <v>1876</v>
      </c>
      <c r="D272" s="25" t="n">
        <v>1.85</v>
      </c>
      <c r="E272" s="24" t="s">
        <v>1877</v>
      </c>
      <c r="F272" s="24" t="s">
        <v>1878</v>
      </c>
      <c r="G272" s="24" t="s">
        <v>1879</v>
      </c>
      <c r="H272" s="25" t="n">
        <v>2.47</v>
      </c>
      <c r="I272" s="24" t="s">
        <v>828</v>
      </c>
      <c r="J272" s="24" t="s">
        <v>829</v>
      </c>
      <c r="K272" s="24" t="s">
        <v>1880</v>
      </c>
      <c r="L272" s="24" t="s">
        <v>831</v>
      </c>
      <c r="M272" s="24"/>
    </row>
    <row r="273" customFormat="false" ht="15" hidden="false" customHeight="false" outlineLevel="0" collapsed="false">
      <c r="A273" s="24" t="s">
        <v>346</v>
      </c>
      <c r="B273" s="24" t="s">
        <v>833</v>
      </c>
      <c r="C273" s="24" t="s">
        <v>1881</v>
      </c>
      <c r="D273" s="25" t="n">
        <v>2.05</v>
      </c>
      <c r="E273" s="24" t="s">
        <v>1877</v>
      </c>
      <c r="F273" s="24" t="s">
        <v>1878</v>
      </c>
      <c r="G273" s="24" t="s">
        <v>1882</v>
      </c>
      <c r="H273" s="25" t="n">
        <v>2.73</v>
      </c>
      <c r="I273" s="24" t="s">
        <v>828</v>
      </c>
      <c r="J273" s="24" t="s">
        <v>829</v>
      </c>
      <c r="K273" s="24" t="s">
        <v>1883</v>
      </c>
      <c r="L273" s="24" t="s">
        <v>831</v>
      </c>
      <c r="M273" s="24"/>
    </row>
    <row r="274" customFormat="false" ht="15" hidden="false" customHeight="false" outlineLevel="0" collapsed="false">
      <c r="A274" s="24" t="s">
        <v>346</v>
      </c>
      <c r="B274" s="24" t="s">
        <v>40</v>
      </c>
      <c r="C274" s="24" t="s">
        <v>1884</v>
      </c>
      <c r="D274" s="25" t="n">
        <v>1.8</v>
      </c>
      <c r="E274" s="24" t="s">
        <v>1885</v>
      </c>
      <c r="F274" s="24" t="s">
        <v>1886</v>
      </c>
      <c r="G274" s="24" t="s">
        <v>889</v>
      </c>
      <c r="H274" s="25" t="n">
        <v>2.65</v>
      </c>
      <c r="I274" s="24" t="s">
        <v>828</v>
      </c>
      <c r="J274" s="24" t="s">
        <v>829</v>
      </c>
      <c r="K274" s="24" t="s">
        <v>1887</v>
      </c>
      <c r="L274" s="24" t="s">
        <v>831</v>
      </c>
      <c r="M274" s="24"/>
    </row>
    <row r="275" customFormat="false" ht="15" hidden="false" customHeight="false" outlineLevel="0" collapsed="false">
      <c r="A275" s="24" t="s">
        <v>350</v>
      </c>
      <c r="B275" s="24" t="s">
        <v>823</v>
      </c>
      <c r="C275" s="24" t="s">
        <v>1888</v>
      </c>
      <c r="D275" s="25" t="n">
        <v>0.35</v>
      </c>
      <c r="E275" s="24" t="s">
        <v>924</v>
      </c>
      <c r="F275" s="24" t="s">
        <v>925</v>
      </c>
      <c r="G275" s="24" t="s">
        <v>1889</v>
      </c>
      <c r="H275" s="25" t="n">
        <v>0.62</v>
      </c>
      <c r="I275" s="24" t="s">
        <v>828</v>
      </c>
      <c r="J275" s="24" t="s">
        <v>829</v>
      </c>
      <c r="K275" s="24" t="s">
        <v>1890</v>
      </c>
      <c r="L275" s="24" t="s">
        <v>831</v>
      </c>
      <c r="M275" s="24"/>
    </row>
    <row r="276" customFormat="false" ht="15" hidden="false" customHeight="false" outlineLevel="0" collapsed="false">
      <c r="A276" s="24" t="s">
        <v>350</v>
      </c>
      <c r="B276" s="24" t="s">
        <v>833</v>
      </c>
      <c r="C276" s="24" t="s">
        <v>1891</v>
      </c>
      <c r="D276" s="25" t="n">
        <v>0.45</v>
      </c>
      <c r="E276" s="24" t="s">
        <v>924</v>
      </c>
      <c r="F276" s="24" t="s">
        <v>925</v>
      </c>
      <c r="G276" s="24" t="s">
        <v>1892</v>
      </c>
      <c r="H276" s="25" t="n">
        <v>0.79</v>
      </c>
      <c r="I276" s="24" t="s">
        <v>828</v>
      </c>
      <c r="J276" s="24" t="s">
        <v>829</v>
      </c>
      <c r="K276" s="24" t="s">
        <v>1893</v>
      </c>
      <c r="L276" s="24" t="s">
        <v>831</v>
      </c>
      <c r="M276" s="24" t="s">
        <v>1894</v>
      </c>
    </row>
    <row r="277" customFormat="false" ht="15" hidden="false" customHeight="false" outlineLevel="0" collapsed="false">
      <c r="A277" s="24" t="s">
        <v>350</v>
      </c>
      <c r="B277" s="24" t="s">
        <v>40</v>
      </c>
      <c r="C277" s="24" t="s">
        <v>1895</v>
      </c>
      <c r="D277" s="25" t="n">
        <v>0.35</v>
      </c>
      <c r="E277" s="24" t="s">
        <v>924</v>
      </c>
      <c r="F277" s="24" t="s">
        <v>925</v>
      </c>
      <c r="G277" s="24" t="s">
        <v>1896</v>
      </c>
      <c r="H277" s="25" t="n">
        <v>0.62</v>
      </c>
      <c r="I277" s="24" t="s">
        <v>828</v>
      </c>
      <c r="J277" s="24" t="s">
        <v>829</v>
      </c>
      <c r="K277" s="24" t="s">
        <v>1897</v>
      </c>
      <c r="L277" s="24" t="s">
        <v>831</v>
      </c>
      <c r="M277" s="24" t="s">
        <v>1898</v>
      </c>
    </row>
    <row r="278" customFormat="false" ht="15" hidden="false" customHeight="false" outlineLevel="0" collapsed="false">
      <c r="A278" s="24" t="s">
        <v>354</v>
      </c>
      <c r="B278" s="24" t="s">
        <v>823</v>
      </c>
      <c r="C278" s="24" t="s">
        <v>1899</v>
      </c>
      <c r="D278" s="25" t="n">
        <v>0.75</v>
      </c>
      <c r="E278" s="24" t="s">
        <v>1271</v>
      </c>
      <c r="F278" s="24" t="s">
        <v>1272</v>
      </c>
      <c r="G278" s="24" t="s">
        <v>1900</v>
      </c>
      <c r="H278" s="25" t="n">
        <v>4.69</v>
      </c>
      <c r="I278" s="24" t="s">
        <v>828</v>
      </c>
      <c r="J278" s="24" t="s">
        <v>829</v>
      </c>
      <c r="K278" s="24" t="s">
        <v>1901</v>
      </c>
      <c r="L278" s="24" t="s">
        <v>831</v>
      </c>
      <c r="M278" s="24"/>
    </row>
    <row r="279" customFormat="false" ht="15" hidden="false" customHeight="false" outlineLevel="0" collapsed="false">
      <c r="A279" s="24" t="s">
        <v>354</v>
      </c>
      <c r="B279" s="24" t="s">
        <v>833</v>
      </c>
      <c r="C279" s="24" t="s">
        <v>1902</v>
      </c>
      <c r="D279" s="25" t="n">
        <v>0.65</v>
      </c>
      <c r="E279" s="24" t="s">
        <v>1271</v>
      </c>
      <c r="F279" s="24" t="s">
        <v>1272</v>
      </c>
      <c r="G279" s="24" t="s">
        <v>1903</v>
      </c>
      <c r="H279" s="25" t="n">
        <v>4.06</v>
      </c>
      <c r="I279" s="24" t="s">
        <v>828</v>
      </c>
      <c r="J279" s="24" t="s">
        <v>829</v>
      </c>
      <c r="K279" s="24" t="s">
        <v>1904</v>
      </c>
      <c r="L279" s="24" t="s">
        <v>831</v>
      </c>
      <c r="M279" s="24"/>
    </row>
    <row r="280" customFormat="false" ht="15" hidden="false" customHeight="false" outlineLevel="0" collapsed="false">
      <c r="A280" s="24" t="s">
        <v>354</v>
      </c>
      <c r="B280" s="24" t="s">
        <v>40</v>
      </c>
      <c r="C280" s="24" t="s">
        <v>1905</v>
      </c>
      <c r="D280" s="25" t="n">
        <v>1.15</v>
      </c>
      <c r="E280" s="24" t="s">
        <v>997</v>
      </c>
      <c r="F280" s="24" t="s">
        <v>990</v>
      </c>
      <c r="G280" s="24" t="s">
        <v>1906</v>
      </c>
      <c r="H280" s="25" t="n">
        <v>5.75</v>
      </c>
      <c r="I280" s="24" t="s">
        <v>828</v>
      </c>
      <c r="J280" s="24" t="s">
        <v>829</v>
      </c>
      <c r="K280" s="24" t="s">
        <v>1907</v>
      </c>
      <c r="L280" s="24" t="s">
        <v>831</v>
      </c>
      <c r="M280" s="24" t="s">
        <v>1908</v>
      </c>
    </row>
    <row r="281" customFormat="false" ht="15" hidden="false" customHeight="false" outlineLevel="0" collapsed="false">
      <c r="A281" s="24" t="s">
        <v>358</v>
      </c>
      <c r="B281" s="24" t="s">
        <v>823</v>
      </c>
      <c r="C281" s="24" t="s">
        <v>1909</v>
      </c>
      <c r="D281" s="25" t="n">
        <v>0.45</v>
      </c>
      <c r="E281" s="24" t="s">
        <v>1910</v>
      </c>
      <c r="F281" s="24" t="s">
        <v>1911</v>
      </c>
      <c r="G281" s="24" t="s">
        <v>1912</v>
      </c>
      <c r="H281" s="25" t="n">
        <v>2.43</v>
      </c>
      <c r="I281" s="24" t="s">
        <v>828</v>
      </c>
      <c r="J281" s="24" t="s">
        <v>829</v>
      </c>
      <c r="K281" s="24" t="s">
        <v>1913</v>
      </c>
      <c r="L281" s="24" t="s">
        <v>831</v>
      </c>
      <c r="M281" s="24"/>
    </row>
    <row r="282" customFormat="false" ht="15" hidden="false" customHeight="false" outlineLevel="0" collapsed="false">
      <c r="A282" s="24" t="s">
        <v>358</v>
      </c>
      <c r="B282" s="24" t="s">
        <v>833</v>
      </c>
      <c r="C282" s="24" t="s">
        <v>1914</v>
      </c>
      <c r="D282" s="25" t="n">
        <v>0.45</v>
      </c>
      <c r="E282" s="24" t="s">
        <v>1910</v>
      </c>
      <c r="F282" s="24" t="s">
        <v>1911</v>
      </c>
      <c r="G282" s="24" t="s">
        <v>1915</v>
      </c>
      <c r="H282" s="25" t="n">
        <v>2.43</v>
      </c>
      <c r="I282" s="24" t="s">
        <v>828</v>
      </c>
      <c r="J282" s="24" t="s">
        <v>829</v>
      </c>
      <c r="K282" s="24" t="s">
        <v>1916</v>
      </c>
      <c r="L282" s="24" t="s">
        <v>831</v>
      </c>
      <c r="M282" s="24" t="s">
        <v>1917</v>
      </c>
    </row>
    <row r="283" customFormat="false" ht="15" hidden="false" customHeight="false" outlineLevel="0" collapsed="false">
      <c r="A283" s="24" t="s">
        <v>358</v>
      </c>
      <c r="B283" s="24" t="s">
        <v>40</v>
      </c>
      <c r="C283" s="24" t="s">
        <v>1918</v>
      </c>
      <c r="D283" s="25" t="n">
        <v>0.45</v>
      </c>
      <c r="E283" s="24" t="s">
        <v>1910</v>
      </c>
      <c r="F283" s="24" t="s">
        <v>1911</v>
      </c>
      <c r="G283" s="24" t="s">
        <v>1912</v>
      </c>
      <c r="H283" s="25" t="n">
        <v>2.43</v>
      </c>
      <c r="I283" s="24" t="s">
        <v>828</v>
      </c>
      <c r="J283" s="24" t="s">
        <v>829</v>
      </c>
      <c r="K283" s="24" t="s">
        <v>1919</v>
      </c>
      <c r="L283" s="24" t="s">
        <v>831</v>
      </c>
      <c r="M283" s="24" t="s">
        <v>1920</v>
      </c>
    </row>
    <row r="284" customFormat="false" ht="15" hidden="false" customHeight="false" outlineLevel="0" collapsed="false">
      <c r="A284" s="24" t="s">
        <v>362</v>
      </c>
      <c r="B284" s="24" t="s">
        <v>823</v>
      </c>
      <c r="C284" s="24" t="s">
        <v>1921</v>
      </c>
      <c r="D284" s="25" t="n">
        <v>0.44</v>
      </c>
      <c r="E284" s="24" t="s">
        <v>1139</v>
      </c>
      <c r="F284" s="24" t="s">
        <v>1140</v>
      </c>
      <c r="G284" s="24" t="s">
        <v>1922</v>
      </c>
      <c r="H284" s="25" t="n">
        <v>2.51</v>
      </c>
      <c r="I284" s="24" t="s">
        <v>828</v>
      </c>
      <c r="J284" s="24" t="s">
        <v>829</v>
      </c>
      <c r="K284" s="24" t="s">
        <v>1923</v>
      </c>
      <c r="L284" s="24" t="s">
        <v>831</v>
      </c>
      <c r="M284" s="24" t="s">
        <v>1924</v>
      </c>
    </row>
    <row r="285" customFormat="false" ht="15" hidden="false" customHeight="false" outlineLevel="0" collapsed="false">
      <c r="A285" s="24" t="s">
        <v>362</v>
      </c>
      <c r="B285" s="24" t="s">
        <v>833</v>
      </c>
      <c r="C285" s="24" t="s">
        <v>1925</v>
      </c>
      <c r="D285" s="25" t="n">
        <v>0.44</v>
      </c>
      <c r="E285" s="24" t="s">
        <v>1678</v>
      </c>
      <c r="F285" s="24" t="s">
        <v>1115</v>
      </c>
      <c r="G285" s="24" t="s">
        <v>1926</v>
      </c>
      <c r="H285" s="25" t="n">
        <v>2.44</v>
      </c>
      <c r="I285" s="24" t="s">
        <v>828</v>
      </c>
      <c r="J285" s="24" t="s">
        <v>829</v>
      </c>
      <c r="K285" s="24" t="s">
        <v>1927</v>
      </c>
      <c r="L285" s="24" t="s">
        <v>831</v>
      </c>
      <c r="M285" s="24" t="s">
        <v>1928</v>
      </c>
    </row>
    <row r="286" customFormat="false" ht="15" hidden="false" customHeight="false" outlineLevel="0" collapsed="false">
      <c r="A286" s="24" t="s">
        <v>362</v>
      </c>
      <c r="B286" s="24" t="s">
        <v>40</v>
      </c>
      <c r="C286" s="24" t="s">
        <v>1929</v>
      </c>
      <c r="D286" s="25" t="n">
        <v>0.44</v>
      </c>
      <c r="E286" s="24" t="s">
        <v>1114</v>
      </c>
      <c r="F286" s="24" t="s">
        <v>1115</v>
      </c>
      <c r="G286" s="24" t="s">
        <v>1930</v>
      </c>
      <c r="H286" s="25" t="n">
        <v>2.44</v>
      </c>
      <c r="I286" s="24" t="s">
        <v>828</v>
      </c>
      <c r="J286" s="24" t="s">
        <v>829</v>
      </c>
      <c r="K286" s="24" t="s">
        <v>1931</v>
      </c>
      <c r="L286" s="24" t="s">
        <v>831</v>
      </c>
      <c r="M286" s="24" t="s">
        <v>1932</v>
      </c>
    </row>
    <row r="287" customFormat="false" ht="15" hidden="false" customHeight="false" outlineLevel="0" collapsed="false">
      <c r="A287" s="24" t="s">
        <v>366</v>
      </c>
      <c r="B287" s="24" t="s">
        <v>823</v>
      </c>
      <c r="C287" s="24" t="s">
        <v>1933</v>
      </c>
      <c r="D287" s="25" t="n">
        <v>0.65</v>
      </c>
      <c r="E287" s="24" t="s">
        <v>1877</v>
      </c>
      <c r="F287" s="24" t="s">
        <v>1878</v>
      </c>
      <c r="G287" s="24" t="s">
        <v>1934</v>
      </c>
      <c r="H287" s="25" t="n">
        <v>0.87</v>
      </c>
      <c r="I287" s="24" t="s">
        <v>828</v>
      </c>
      <c r="J287" s="24" t="s">
        <v>829</v>
      </c>
      <c r="K287" s="24" t="s">
        <v>1935</v>
      </c>
      <c r="L287" s="24" t="s">
        <v>831</v>
      </c>
      <c r="M287" s="24" t="s">
        <v>1936</v>
      </c>
    </row>
    <row r="288" customFormat="false" ht="15" hidden="false" customHeight="false" outlineLevel="0" collapsed="false">
      <c r="A288" s="24" t="s">
        <v>366</v>
      </c>
      <c r="B288" s="24" t="s">
        <v>833</v>
      </c>
      <c r="C288" s="24" t="s">
        <v>1937</v>
      </c>
      <c r="D288" s="25" t="n">
        <v>0.75</v>
      </c>
      <c r="E288" s="24" t="s">
        <v>1877</v>
      </c>
      <c r="F288" s="24" t="s">
        <v>1878</v>
      </c>
      <c r="G288" s="24" t="s">
        <v>874</v>
      </c>
      <c r="H288" s="25" t="n">
        <v>1</v>
      </c>
      <c r="I288" s="24" t="s">
        <v>828</v>
      </c>
      <c r="J288" s="24" t="s">
        <v>829</v>
      </c>
      <c r="K288" s="24" t="s">
        <v>1938</v>
      </c>
      <c r="L288" s="24" t="s">
        <v>831</v>
      </c>
      <c r="M288" s="24"/>
    </row>
    <row r="289" customFormat="false" ht="15" hidden="false" customHeight="false" outlineLevel="0" collapsed="false">
      <c r="A289" s="24" t="s">
        <v>366</v>
      </c>
      <c r="B289" s="24" t="s">
        <v>40</v>
      </c>
      <c r="C289" s="24" t="s">
        <v>1939</v>
      </c>
      <c r="D289" s="25" t="n">
        <v>1.9</v>
      </c>
      <c r="E289" s="24" t="s">
        <v>878</v>
      </c>
      <c r="F289" s="24" t="s">
        <v>873</v>
      </c>
      <c r="G289" s="24" t="s">
        <v>1940</v>
      </c>
      <c r="H289" s="25" t="n">
        <v>1.27</v>
      </c>
      <c r="I289" s="24" t="s">
        <v>828</v>
      </c>
      <c r="J289" s="24" t="s">
        <v>829</v>
      </c>
      <c r="K289" s="24" t="s">
        <v>1941</v>
      </c>
      <c r="L289" s="24" t="s">
        <v>831</v>
      </c>
      <c r="M289" s="24" t="s">
        <v>1942</v>
      </c>
    </row>
    <row r="290" customFormat="false" ht="15" hidden="false" customHeight="false" outlineLevel="0" collapsed="false">
      <c r="A290" s="24" t="s">
        <v>370</v>
      </c>
      <c r="B290" s="24" t="s">
        <v>823</v>
      </c>
      <c r="C290" s="24" t="s">
        <v>1943</v>
      </c>
      <c r="D290" s="25" t="n">
        <v>1.55</v>
      </c>
      <c r="E290" s="24" t="s">
        <v>1944</v>
      </c>
      <c r="F290" s="24" t="s">
        <v>1945</v>
      </c>
      <c r="G290" s="24" t="s">
        <v>1946</v>
      </c>
      <c r="H290" s="25" t="n">
        <v>27.68</v>
      </c>
      <c r="I290" s="24" t="s">
        <v>828</v>
      </c>
      <c r="J290" s="24" t="s">
        <v>829</v>
      </c>
      <c r="K290" s="24" t="s">
        <v>1947</v>
      </c>
      <c r="L290" s="24" t="s">
        <v>831</v>
      </c>
      <c r="M290" s="24"/>
    </row>
    <row r="291" customFormat="false" ht="15" hidden="false" customHeight="false" outlineLevel="0" collapsed="false">
      <c r="A291" s="24" t="s">
        <v>370</v>
      </c>
      <c r="B291" s="24" t="s">
        <v>833</v>
      </c>
      <c r="C291" s="24" t="s">
        <v>1948</v>
      </c>
      <c r="D291" s="25" t="n">
        <v>1.6</v>
      </c>
      <c r="E291" s="24" t="s">
        <v>1949</v>
      </c>
      <c r="F291" s="24" t="s">
        <v>1945</v>
      </c>
      <c r="G291" s="24" t="s">
        <v>1950</v>
      </c>
      <c r="H291" s="25" t="n">
        <v>28.57</v>
      </c>
      <c r="I291" s="24" t="s">
        <v>828</v>
      </c>
      <c r="J291" s="24" t="s">
        <v>829</v>
      </c>
      <c r="K291" s="24" t="s">
        <v>1951</v>
      </c>
      <c r="L291" s="24" t="s">
        <v>831</v>
      </c>
      <c r="M291" s="24"/>
    </row>
    <row r="292" customFormat="false" ht="15" hidden="false" customHeight="false" outlineLevel="0" collapsed="false">
      <c r="A292" s="24" t="s">
        <v>370</v>
      </c>
      <c r="B292" s="24" t="s">
        <v>40</v>
      </c>
      <c r="C292" s="24" t="s">
        <v>1952</v>
      </c>
      <c r="D292" s="25" t="n">
        <v>1.55</v>
      </c>
      <c r="E292" s="24" t="s">
        <v>1953</v>
      </c>
      <c r="F292" s="24" t="s">
        <v>1945</v>
      </c>
      <c r="G292" s="24" t="s">
        <v>1946</v>
      </c>
      <c r="H292" s="25" t="n">
        <v>27.68</v>
      </c>
      <c r="I292" s="24" t="s">
        <v>828</v>
      </c>
      <c r="J292" s="24" t="s">
        <v>829</v>
      </c>
      <c r="K292" s="24" t="s">
        <v>1954</v>
      </c>
      <c r="L292" s="24" t="s">
        <v>831</v>
      </c>
      <c r="M292" s="24"/>
    </row>
    <row r="293" customFormat="false" ht="15" hidden="false" customHeight="false" outlineLevel="0" collapsed="false">
      <c r="A293" s="24" t="s">
        <v>374</v>
      </c>
      <c r="B293" s="24" t="s">
        <v>823</v>
      </c>
      <c r="C293" s="24" t="s">
        <v>1955</v>
      </c>
      <c r="D293" s="25" t="n">
        <v>1.3</v>
      </c>
      <c r="E293" s="24" t="s">
        <v>1276</v>
      </c>
      <c r="F293" s="24" t="s">
        <v>1277</v>
      </c>
      <c r="G293" s="24" t="s">
        <v>1956</v>
      </c>
      <c r="H293" s="25" t="n">
        <v>10.83</v>
      </c>
      <c r="I293" s="24" t="s">
        <v>828</v>
      </c>
      <c r="J293" s="24" t="s">
        <v>829</v>
      </c>
      <c r="K293" s="24" t="s">
        <v>1957</v>
      </c>
      <c r="L293" s="24" t="s">
        <v>831</v>
      </c>
      <c r="M293" s="24" t="s">
        <v>1958</v>
      </c>
    </row>
    <row r="294" customFormat="false" ht="15" hidden="false" customHeight="false" outlineLevel="0" collapsed="false">
      <c r="A294" s="24" t="s">
        <v>374</v>
      </c>
      <c r="B294" s="24" t="s">
        <v>833</v>
      </c>
      <c r="C294" s="24" t="s">
        <v>1959</v>
      </c>
      <c r="D294" s="25" t="n">
        <v>1.1</v>
      </c>
      <c r="E294" s="24" t="s">
        <v>1960</v>
      </c>
      <c r="F294" s="24" t="s">
        <v>1204</v>
      </c>
      <c r="G294" s="24" t="s">
        <v>1961</v>
      </c>
      <c r="H294" s="25" t="n">
        <v>11</v>
      </c>
      <c r="I294" s="24" t="s">
        <v>828</v>
      </c>
      <c r="J294" s="24" t="s">
        <v>829</v>
      </c>
      <c r="K294" s="24" t="s">
        <v>1962</v>
      </c>
      <c r="L294" s="24" t="s">
        <v>831</v>
      </c>
      <c r="M294" s="24" t="s">
        <v>1963</v>
      </c>
    </row>
    <row r="295" customFormat="false" ht="15" hidden="false" customHeight="false" outlineLevel="0" collapsed="false">
      <c r="A295" s="24" t="s">
        <v>374</v>
      </c>
      <c r="B295" s="24" t="s">
        <v>40</v>
      </c>
      <c r="C295" s="24" t="s">
        <v>1964</v>
      </c>
      <c r="D295" s="25" t="n">
        <v>1</v>
      </c>
      <c r="E295" s="24" t="s">
        <v>1965</v>
      </c>
      <c r="F295" s="24" t="s">
        <v>1204</v>
      </c>
      <c r="G295" s="24" t="s">
        <v>1141</v>
      </c>
      <c r="H295" s="25" t="n">
        <v>10</v>
      </c>
      <c r="I295" s="24" t="s">
        <v>828</v>
      </c>
      <c r="J295" s="24" t="s">
        <v>829</v>
      </c>
      <c r="K295" s="24" t="s">
        <v>1966</v>
      </c>
      <c r="L295" s="24" t="s">
        <v>831</v>
      </c>
      <c r="M295" s="24" t="s">
        <v>1963</v>
      </c>
    </row>
    <row r="296" customFormat="false" ht="15" hidden="false" customHeight="false" outlineLevel="0" collapsed="false">
      <c r="A296" s="24" t="s">
        <v>378</v>
      </c>
      <c r="B296" s="24" t="s">
        <v>823</v>
      </c>
      <c r="C296" s="24" t="s">
        <v>1967</v>
      </c>
      <c r="D296" s="25" t="n">
        <v>0.89</v>
      </c>
      <c r="E296" s="24" t="s">
        <v>1968</v>
      </c>
      <c r="F296" s="24" t="s">
        <v>1969</v>
      </c>
      <c r="G296" s="24" t="s">
        <v>1970</v>
      </c>
      <c r="H296" s="25" t="n">
        <v>4.68</v>
      </c>
      <c r="I296" s="24" t="s">
        <v>828</v>
      </c>
      <c r="J296" s="24" t="s">
        <v>829</v>
      </c>
      <c r="K296" s="24" t="s">
        <v>1971</v>
      </c>
      <c r="L296" s="24" t="s">
        <v>831</v>
      </c>
      <c r="M296" s="24" t="s">
        <v>1972</v>
      </c>
    </row>
    <row r="297" customFormat="false" ht="15" hidden="false" customHeight="false" outlineLevel="0" collapsed="false">
      <c r="A297" s="24" t="s">
        <v>378</v>
      </c>
      <c r="B297" s="24" t="s">
        <v>833</v>
      </c>
      <c r="C297" s="24" t="s">
        <v>1973</v>
      </c>
      <c r="D297" s="25" t="n">
        <v>0.89</v>
      </c>
      <c r="E297" s="24" t="s">
        <v>1968</v>
      </c>
      <c r="F297" s="24" t="s">
        <v>1969</v>
      </c>
      <c r="G297" s="24" t="s">
        <v>1974</v>
      </c>
      <c r="H297" s="25" t="n">
        <v>4.68</v>
      </c>
      <c r="I297" s="24" t="s">
        <v>828</v>
      </c>
      <c r="J297" s="24" t="s">
        <v>829</v>
      </c>
      <c r="K297" s="24" t="s">
        <v>1975</v>
      </c>
      <c r="L297" s="24" t="s">
        <v>831</v>
      </c>
      <c r="M297" s="24" t="s">
        <v>1976</v>
      </c>
    </row>
    <row r="298" customFormat="false" ht="15" hidden="false" customHeight="false" outlineLevel="0" collapsed="false">
      <c r="A298" s="24" t="s">
        <v>378</v>
      </c>
      <c r="B298" s="24" t="s">
        <v>40</v>
      </c>
      <c r="C298" s="24" t="s">
        <v>1977</v>
      </c>
      <c r="D298" s="25" t="n">
        <v>0.89</v>
      </c>
      <c r="E298" s="24" t="s">
        <v>1978</v>
      </c>
      <c r="F298" s="24" t="s">
        <v>1969</v>
      </c>
      <c r="G298" s="24" t="s">
        <v>1970</v>
      </c>
      <c r="H298" s="25" t="n">
        <v>4.68</v>
      </c>
      <c r="I298" s="24" t="s">
        <v>828</v>
      </c>
      <c r="J298" s="24" t="s">
        <v>829</v>
      </c>
      <c r="K298" s="24" t="s">
        <v>1979</v>
      </c>
      <c r="L298" s="24" t="s">
        <v>831</v>
      </c>
      <c r="M298" s="24" t="s">
        <v>1980</v>
      </c>
    </row>
    <row r="299" customFormat="false" ht="15" hidden="false" customHeight="false" outlineLevel="0" collapsed="false">
      <c r="A299" s="24" t="s">
        <v>382</v>
      </c>
      <c r="B299" s="24" t="s">
        <v>823</v>
      </c>
      <c r="C299" s="24" t="s">
        <v>1981</v>
      </c>
      <c r="D299" s="25" t="n">
        <v>7.5</v>
      </c>
      <c r="E299" s="24" t="s">
        <v>825</v>
      </c>
      <c r="F299" s="24" t="s">
        <v>826</v>
      </c>
      <c r="G299" s="24" t="s">
        <v>1982</v>
      </c>
      <c r="H299" s="25" t="n">
        <v>15</v>
      </c>
      <c r="I299" s="24" t="s">
        <v>828</v>
      </c>
      <c r="J299" s="24" t="s">
        <v>829</v>
      </c>
      <c r="K299" s="24" t="s">
        <v>1983</v>
      </c>
      <c r="L299" s="24" t="s">
        <v>831</v>
      </c>
      <c r="M299" s="24" t="s">
        <v>1984</v>
      </c>
    </row>
    <row r="300" customFormat="false" ht="15" hidden="false" customHeight="false" outlineLevel="0" collapsed="false">
      <c r="A300" s="24" t="s">
        <v>382</v>
      </c>
      <c r="B300" s="24" t="s">
        <v>833</v>
      </c>
      <c r="C300" s="24" t="s">
        <v>1985</v>
      </c>
      <c r="D300" s="25" t="n">
        <v>7.5</v>
      </c>
      <c r="E300" s="24" t="s">
        <v>825</v>
      </c>
      <c r="F300" s="24" t="s">
        <v>826</v>
      </c>
      <c r="G300" s="24" t="s">
        <v>1986</v>
      </c>
      <c r="H300" s="25" t="n">
        <v>15</v>
      </c>
      <c r="I300" s="24" t="s">
        <v>828</v>
      </c>
      <c r="J300" s="24" t="s">
        <v>829</v>
      </c>
      <c r="K300" s="24" t="s">
        <v>1987</v>
      </c>
      <c r="L300" s="24" t="s">
        <v>831</v>
      </c>
      <c r="M300" s="24" t="s">
        <v>1988</v>
      </c>
    </row>
    <row r="301" customFormat="false" ht="15" hidden="false" customHeight="false" outlineLevel="0" collapsed="false">
      <c r="A301" s="24" t="s">
        <v>382</v>
      </c>
      <c r="B301" s="24" t="s">
        <v>40</v>
      </c>
      <c r="C301" s="24" t="s">
        <v>1989</v>
      </c>
      <c r="D301" s="25" t="n">
        <v>7.5</v>
      </c>
      <c r="E301" s="24" t="s">
        <v>920</v>
      </c>
      <c r="F301" s="24" t="s">
        <v>826</v>
      </c>
      <c r="G301" s="24" t="s">
        <v>1990</v>
      </c>
      <c r="H301" s="25" t="n">
        <v>15</v>
      </c>
      <c r="I301" s="24" t="s">
        <v>828</v>
      </c>
      <c r="J301" s="24" t="s">
        <v>829</v>
      </c>
      <c r="K301" s="24" t="s">
        <v>1991</v>
      </c>
      <c r="L301" s="24" t="s">
        <v>831</v>
      </c>
      <c r="M301" s="24" t="s">
        <v>1992</v>
      </c>
    </row>
    <row r="302" customFormat="false" ht="15" hidden="false" customHeight="false" outlineLevel="0" collapsed="false">
      <c r="A302" s="24" t="s">
        <v>386</v>
      </c>
      <c r="B302" s="24" t="s">
        <v>823</v>
      </c>
      <c r="C302" s="24" t="s">
        <v>1993</v>
      </c>
      <c r="D302" s="25" t="n">
        <v>1.45</v>
      </c>
      <c r="E302" s="24" t="s">
        <v>1994</v>
      </c>
      <c r="F302" s="24" t="s">
        <v>1832</v>
      </c>
      <c r="G302" s="24" t="s">
        <v>1856</v>
      </c>
      <c r="H302" s="25" t="n">
        <v>1.58</v>
      </c>
      <c r="I302" s="24" t="s">
        <v>828</v>
      </c>
      <c r="J302" s="24" t="s">
        <v>829</v>
      </c>
      <c r="K302" s="24" t="s">
        <v>1995</v>
      </c>
      <c r="L302" s="24" t="s">
        <v>831</v>
      </c>
      <c r="M302" s="24" t="s">
        <v>1996</v>
      </c>
    </row>
    <row r="303" customFormat="false" ht="15" hidden="false" customHeight="false" outlineLevel="0" collapsed="false">
      <c r="A303" s="24" t="s">
        <v>386</v>
      </c>
      <c r="B303" s="24" t="s">
        <v>833</v>
      </c>
      <c r="C303" s="24" t="s">
        <v>1997</v>
      </c>
      <c r="D303" s="25" t="n">
        <v>1.45</v>
      </c>
      <c r="E303" s="24" t="s">
        <v>1000</v>
      </c>
      <c r="F303" s="24" t="s">
        <v>1832</v>
      </c>
      <c r="G303" s="24" t="s">
        <v>1998</v>
      </c>
      <c r="H303" s="25" t="n">
        <v>1.58</v>
      </c>
      <c r="I303" s="24" t="s">
        <v>828</v>
      </c>
      <c r="J303" s="24" t="s">
        <v>829</v>
      </c>
      <c r="K303" s="24" t="s">
        <v>1999</v>
      </c>
      <c r="L303" s="24" t="s">
        <v>831</v>
      </c>
      <c r="M303" s="24" t="s">
        <v>2000</v>
      </c>
    </row>
    <row r="304" customFormat="false" ht="15" hidden="false" customHeight="false" outlineLevel="0" collapsed="false">
      <c r="A304" s="24" t="s">
        <v>386</v>
      </c>
      <c r="B304" s="24" t="s">
        <v>40</v>
      </c>
      <c r="C304" s="24" t="s">
        <v>2001</v>
      </c>
      <c r="D304" s="25" t="n">
        <v>1.45</v>
      </c>
      <c r="E304" s="24" t="s">
        <v>1000</v>
      </c>
      <c r="F304" s="24" t="s">
        <v>1832</v>
      </c>
      <c r="G304" s="24" t="s">
        <v>1856</v>
      </c>
      <c r="H304" s="25" t="n">
        <v>1.58</v>
      </c>
      <c r="I304" s="24" t="s">
        <v>828</v>
      </c>
      <c r="J304" s="24" t="s">
        <v>829</v>
      </c>
      <c r="K304" s="24" t="s">
        <v>2002</v>
      </c>
      <c r="L304" s="24" t="s">
        <v>831</v>
      </c>
      <c r="M304" s="24" t="s">
        <v>2003</v>
      </c>
    </row>
    <row r="305" customFormat="false" ht="15" hidden="false" customHeight="false" outlineLevel="0" collapsed="false">
      <c r="A305" s="24" t="s">
        <v>389</v>
      </c>
      <c r="B305" s="24" t="s">
        <v>823</v>
      </c>
      <c r="C305" s="24" t="s">
        <v>2004</v>
      </c>
      <c r="D305" s="25" t="n">
        <v>1.95</v>
      </c>
      <c r="E305" s="24" t="s">
        <v>1678</v>
      </c>
      <c r="F305" s="24" t="s">
        <v>1115</v>
      </c>
      <c r="G305" s="24" t="s">
        <v>1956</v>
      </c>
      <c r="H305" s="25" t="n">
        <v>10.83</v>
      </c>
      <c r="I305" s="24" t="s">
        <v>828</v>
      </c>
      <c r="J305" s="24" t="s">
        <v>829</v>
      </c>
      <c r="K305" s="24" t="s">
        <v>2005</v>
      </c>
      <c r="L305" s="24" t="s">
        <v>831</v>
      </c>
      <c r="M305" s="24" t="s">
        <v>2006</v>
      </c>
    </row>
    <row r="306" customFormat="false" ht="15" hidden="false" customHeight="false" outlineLevel="0" collapsed="false">
      <c r="A306" s="24" t="s">
        <v>389</v>
      </c>
      <c r="B306" s="24" t="s">
        <v>833</v>
      </c>
      <c r="C306" s="24" t="s">
        <v>2007</v>
      </c>
      <c r="D306" s="25" t="n">
        <v>2.15</v>
      </c>
      <c r="E306" s="24" t="s">
        <v>989</v>
      </c>
      <c r="F306" s="24" t="s">
        <v>990</v>
      </c>
      <c r="G306" s="24" t="s">
        <v>1013</v>
      </c>
      <c r="H306" s="25" t="n">
        <v>10.75</v>
      </c>
      <c r="I306" s="24" t="s">
        <v>828</v>
      </c>
      <c r="J306" s="24" t="s">
        <v>829</v>
      </c>
      <c r="K306" s="24" t="s">
        <v>2008</v>
      </c>
      <c r="L306" s="24" t="s">
        <v>831</v>
      </c>
      <c r="M306" s="24" t="s">
        <v>2009</v>
      </c>
    </row>
    <row r="307" customFormat="false" ht="15" hidden="false" customHeight="false" outlineLevel="0" collapsed="false">
      <c r="A307" s="24" t="s">
        <v>389</v>
      </c>
      <c r="B307" s="24" t="s">
        <v>40</v>
      </c>
      <c r="C307" s="24" t="s">
        <v>2010</v>
      </c>
      <c r="D307" s="25" t="n">
        <v>2.25</v>
      </c>
      <c r="E307" s="24" t="s">
        <v>1678</v>
      </c>
      <c r="F307" s="24" t="s">
        <v>1115</v>
      </c>
      <c r="G307" s="24" t="s">
        <v>1598</v>
      </c>
      <c r="H307" s="25" t="n">
        <v>12.5</v>
      </c>
      <c r="I307" s="24" t="s">
        <v>828</v>
      </c>
      <c r="J307" s="24" t="s">
        <v>829</v>
      </c>
      <c r="K307" s="24" t="s">
        <v>2011</v>
      </c>
      <c r="L307" s="24" t="s">
        <v>831</v>
      </c>
      <c r="M307" s="24" t="s">
        <v>2012</v>
      </c>
    </row>
    <row r="308" customFormat="false" ht="15" hidden="false" customHeight="false" outlineLevel="0" collapsed="false">
      <c r="A308" s="24" t="s">
        <v>393</v>
      </c>
      <c r="B308" s="24" t="s">
        <v>823</v>
      </c>
      <c r="C308" s="24" t="s">
        <v>2013</v>
      </c>
      <c r="D308" s="25" t="n">
        <v>0.9</v>
      </c>
      <c r="E308" s="24" t="s">
        <v>939</v>
      </c>
      <c r="F308" s="24" t="s">
        <v>940</v>
      </c>
      <c r="G308" s="24" t="s">
        <v>2014</v>
      </c>
      <c r="H308" s="25" t="n">
        <v>6</v>
      </c>
      <c r="I308" s="24" t="s">
        <v>828</v>
      </c>
      <c r="J308" s="24" t="s">
        <v>829</v>
      </c>
      <c r="K308" s="24" t="s">
        <v>2015</v>
      </c>
      <c r="L308" s="24" t="s">
        <v>831</v>
      </c>
      <c r="M308" s="24" t="s">
        <v>2016</v>
      </c>
    </row>
    <row r="309" customFormat="false" ht="15" hidden="false" customHeight="false" outlineLevel="0" collapsed="false">
      <c r="A309" s="24" t="s">
        <v>393</v>
      </c>
      <c r="B309" s="24" t="s">
        <v>833</v>
      </c>
      <c r="C309" s="24" t="s">
        <v>2017</v>
      </c>
      <c r="D309" s="25" t="n">
        <v>0.55</v>
      </c>
      <c r="E309" s="24" t="s">
        <v>939</v>
      </c>
      <c r="F309" s="24" t="s">
        <v>940</v>
      </c>
      <c r="G309" s="24" t="s">
        <v>2018</v>
      </c>
      <c r="H309" s="25" t="n">
        <v>3.67</v>
      </c>
      <c r="I309" s="24" t="s">
        <v>828</v>
      </c>
      <c r="J309" s="24" t="s">
        <v>829</v>
      </c>
      <c r="K309" s="24" t="s">
        <v>2019</v>
      </c>
      <c r="L309" s="24" t="s">
        <v>831</v>
      </c>
      <c r="M309" s="24" t="s">
        <v>852</v>
      </c>
    </row>
    <row r="310" customFormat="false" ht="15" hidden="false" customHeight="false" outlineLevel="0" collapsed="false">
      <c r="A310" s="24" t="s">
        <v>393</v>
      </c>
      <c r="B310" s="24" t="s">
        <v>40</v>
      </c>
      <c r="C310" s="24" t="s">
        <v>2020</v>
      </c>
      <c r="D310" s="25" t="n">
        <v>0.55</v>
      </c>
      <c r="E310" s="24" t="s">
        <v>939</v>
      </c>
      <c r="F310" s="24" t="s">
        <v>940</v>
      </c>
      <c r="G310" s="24" t="s">
        <v>2021</v>
      </c>
      <c r="H310" s="25" t="n">
        <v>3.67</v>
      </c>
      <c r="I310" s="24" t="s">
        <v>828</v>
      </c>
      <c r="J310" s="24" t="s">
        <v>829</v>
      </c>
      <c r="K310" s="24" t="s">
        <v>2022</v>
      </c>
      <c r="L310" s="24" t="s">
        <v>831</v>
      </c>
      <c r="M310" s="24" t="s">
        <v>2023</v>
      </c>
    </row>
    <row r="311" customFormat="false" ht="15" hidden="false" customHeight="false" outlineLevel="0" collapsed="false">
      <c r="A311" s="24" t="s">
        <v>397</v>
      </c>
      <c r="B311" s="24" t="s">
        <v>823</v>
      </c>
      <c r="C311" s="24" t="s">
        <v>2024</v>
      </c>
      <c r="D311" s="25" t="n">
        <v>1.3</v>
      </c>
      <c r="E311" s="24" t="s">
        <v>939</v>
      </c>
      <c r="F311" s="24" t="s">
        <v>940</v>
      </c>
      <c r="G311" s="24" t="s">
        <v>2025</v>
      </c>
      <c r="H311" s="25" t="n">
        <v>8.67</v>
      </c>
      <c r="I311" s="24" t="s">
        <v>828</v>
      </c>
      <c r="J311" s="24" t="s">
        <v>829</v>
      </c>
      <c r="K311" s="24" t="s">
        <v>2026</v>
      </c>
      <c r="L311" s="24" t="s">
        <v>831</v>
      </c>
      <c r="M311" s="24"/>
    </row>
    <row r="312" customFormat="false" ht="15" hidden="false" customHeight="false" outlineLevel="0" collapsed="false">
      <c r="A312" s="24" t="s">
        <v>397</v>
      </c>
      <c r="B312" s="24" t="s">
        <v>833</v>
      </c>
      <c r="C312" s="24" t="s">
        <v>2027</v>
      </c>
      <c r="D312" s="25" t="n">
        <v>1.3</v>
      </c>
      <c r="E312" s="24" t="s">
        <v>939</v>
      </c>
      <c r="F312" s="24" t="s">
        <v>940</v>
      </c>
      <c r="G312" s="24" t="s">
        <v>2028</v>
      </c>
      <c r="H312" s="25" t="n">
        <v>8.67</v>
      </c>
      <c r="I312" s="24" t="s">
        <v>828</v>
      </c>
      <c r="J312" s="24" t="s">
        <v>829</v>
      </c>
      <c r="K312" s="24" t="s">
        <v>2029</v>
      </c>
      <c r="L312" s="24" t="s">
        <v>831</v>
      </c>
      <c r="M312" s="24"/>
    </row>
    <row r="313" customFormat="false" ht="15" hidden="false" customHeight="false" outlineLevel="0" collapsed="false">
      <c r="A313" s="24" t="s">
        <v>397</v>
      </c>
      <c r="B313" s="24" t="s">
        <v>40</v>
      </c>
      <c r="C313" s="24" t="s">
        <v>2030</v>
      </c>
      <c r="D313" s="25" t="n">
        <v>1.3</v>
      </c>
      <c r="E313" s="24" t="s">
        <v>939</v>
      </c>
      <c r="F313" s="24" t="s">
        <v>940</v>
      </c>
      <c r="G313" s="24" t="s">
        <v>2031</v>
      </c>
      <c r="H313" s="25" t="n">
        <v>8.67</v>
      </c>
      <c r="I313" s="24" t="s">
        <v>828</v>
      </c>
      <c r="J313" s="24" t="s">
        <v>829</v>
      </c>
      <c r="K313" s="24" t="s">
        <v>2032</v>
      </c>
      <c r="L313" s="24" t="s">
        <v>831</v>
      </c>
      <c r="M313" s="24"/>
    </row>
    <row r="314" customFormat="false" ht="15" hidden="false" customHeight="false" outlineLevel="0" collapsed="false">
      <c r="A314" s="24" t="s">
        <v>401</v>
      </c>
      <c r="B314" s="24" t="s">
        <v>823</v>
      </c>
      <c r="C314" s="24" t="s">
        <v>2033</v>
      </c>
      <c r="D314" s="25" t="n">
        <v>0.73</v>
      </c>
      <c r="E314" s="24" t="s">
        <v>989</v>
      </c>
      <c r="F314" s="24" t="s">
        <v>990</v>
      </c>
      <c r="G314" s="24" t="s">
        <v>2034</v>
      </c>
      <c r="H314" s="25" t="n">
        <v>3.65</v>
      </c>
      <c r="I314" s="24" t="s">
        <v>828</v>
      </c>
      <c r="J314" s="24" t="s">
        <v>829</v>
      </c>
      <c r="K314" s="24" t="s">
        <v>2035</v>
      </c>
      <c r="L314" s="24" t="s">
        <v>831</v>
      </c>
      <c r="M314" s="24" t="s">
        <v>2036</v>
      </c>
    </row>
    <row r="315" customFormat="false" ht="15" hidden="false" customHeight="false" outlineLevel="0" collapsed="false">
      <c r="A315" s="24" t="s">
        <v>401</v>
      </c>
      <c r="B315" s="24" t="s">
        <v>833</v>
      </c>
      <c r="C315" s="24" t="s">
        <v>2037</v>
      </c>
      <c r="D315" s="25" t="n">
        <v>0.65</v>
      </c>
      <c r="E315" s="24" t="s">
        <v>2038</v>
      </c>
      <c r="F315" s="24" t="s">
        <v>2039</v>
      </c>
      <c r="G315" s="24" t="s">
        <v>2040</v>
      </c>
      <c r="H315" s="25" t="n">
        <v>3.82</v>
      </c>
      <c r="I315" s="24" t="s">
        <v>828</v>
      </c>
      <c r="J315" s="24" t="s">
        <v>829</v>
      </c>
      <c r="K315" s="24" t="s">
        <v>2041</v>
      </c>
      <c r="L315" s="24" t="s">
        <v>831</v>
      </c>
      <c r="M315" s="24" t="s">
        <v>2042</v>
      </c>
    </row>
    <row r="316" customFormat="false" ht="15" hidden="false" customHeight="false" outlineLevel="0" collapsed="false">
      <c r="A316" s="24" t="s">
        <v>401</v>
      </c>
      <c r="B316" s="24" t="s">
        <v>40</v>
      </c>
      <c r="C316" s="24" t="s">
        <v>2043</v>
      </c>
      <c r="D316" s="25" t="n">
        <v>0.66</v>
      </c>
      <c r="E316" s="24" t="s">
        <v>997</v>
      </c>
      <c r="F316" s="24" t="s">
        <v>990</v>
      </c>
      <c r="G316" s="24" t="s">
        <v>864</v>
      </c>
      <c r="H316" s="25" t="n">
        <v>3.3</v>
      </c>
      <c r="I316" s="24" t="s">
        <v>828</v>
      </c>
      <c r="J316" s="24" t="s">
        <v>829</v>
      </c>
      <c r="K316" s="24" t="s">
        <v>2044</v>
      </c>
      <c r="L316" s="24" t="s">
        <v>831</v>
      </c>
      <c r="M316" s="24" t="s">
        <v>2045</v>
      </c>
    </row>
    <row r="317" customFormat="false" ht="15" hidden="false" customHeight="false" outlineLevel="0" collapsed="false">
      <c r="A317" s="24" t="s">
        <v>405</v>
      </c>
      <c r="B317" s="24" t="s">
        <v>823</v>
      </c>
      <c r="C317" s="24" t="s">
        <v>2046</v>
      </c>
      <c r="D317" s="25" t="n">
        <v>1.3</v>
      </c>
      <c r="E317" s="24" t="s">
        <v>2047</v>
      </c>
      <c r="F317" s="24" t="s">
        <v>1277</v>
      </c>
      <c r="G317" s="24" t="s">
        <v>1956</v>
      </c>
      <c r="H317" s="25" t="n">
        <v>10.83</v>
      </c>
      <c r="I317" s="24" t="s">
        <v>828</v>
      </c>
      <c r="J317" s="24" t="s">
        <v>829</v>
      </c>
      <c r="K317" s="24" t="s">
        <v>2048</v>
      </c>
      <c r="L317" s="24" t="s">
        <v>831</v>
      </c>
      <c r="M317" s="24" t="s">
        <v>2049</v>
      </c>
    </row>
    <row r="318" customFormat="false" ht="15" hidden="false" customHeight="false" outlineLevel="0" collapsed="false">
      <c r="A318" s="24" t="s">
        <v>405</v>
      </c>
      <c r="B318" s="24" t="s">
        <v>833</v>
      </c>
      <c r="C318" s="24" t="s">
        <v>2050</v>
      </c>
      <c r="D318" s="25" t="n">
        <v>1.1</v>
      </c>
      <c r="E318" s="24" t="s">
        <v>1960</v>
      </c>
      <c r="F318" s="24" t="s">
        <v>1204</v>
      </c>
      <c r="G318" s="24" t="s">
        <v>1961</v>
      </c>
      <c r="H318" s="25" t="n">
        <v>11</v>
      </c>
      <c r="I318" s="24" t="s">
        <v>828</v>
      </c>
      <c r="J318" s="24" t="s">
        <v>829</v>
      </c>
      <c r="K318" s="24" t="s">
        <v>2051</v>
      </c>
      <c r="L318" s="24" t="s">
        <v>831</v>
      </c>
      <c r="M318" s="24" t="s">
        <v>2052</v>
      </c>
    </row>
    <row r="319" customFormat="false" ht="15" hidden="false" customHeight="false" outlineLevel="0" collapsed="false">
      <c r="A319" s="24" t="s">
        <v>405</v>
      </c>
      <c r="B319" s="24" t="s">
        <v>40</v>
      </c>
      <c r="C319" s="24" t="s">
        <v>2053</v>
      </c>
      <c r="D319" s="25" t="n">
        <v>1</v>
      </c>
      <c r="E319" s="24" t="s">
        <v>1965</v>
      </c>
      <c r="F319" s="24" t="s">
        <v>1204</v>
      </c>
      <c r="G319" s="24" t="s">
        <v>1141</v>
      </c>
      <c r="H319" s="25" t="n">
        <v>10</v>
      </c>
      <c r="I319" s="24" t="s">
        <v>828</v>
      </c>
      <c r="J319" s="24" t="s">
        <v>829</v>
      </c>
      <c r="K319" s="24" t="s">
        <v>2054</v>
      </c>
      <c r="L319" s="24" t="s">
        <v>831</v>
      </c>
      <c r="M319" s="24" t="s">
        <v>2052</v>
      </c>
    </row>
    <row r="320" customFormat="false" ht="15" hidden="false" customHeight="false" outlineLevel="0" collapsed="false">
      <c r="A320" s="24" t="s">
        <v>408</v>
      </c>
      <c r="B320" s="24" t="s">
        <v>823</v>
      </c>
      <c r="C320" s="24" t="s">
        <v>2055</v>
      </c>
      <c r="D320" s="25" t="n">
        <v>1.3</v>
      </c>
      <c r="E320" s="24" t="s">
        <v>2056</v>
      </c>
      <c r="F320" s="24" t="s">
        <v>1277</v>
      </c>
      <c r="G320" s="24" t="s">
        <v>1956</v>
      </c>
      <c r="H320" s="25" t="n">
        <v>10.83</v>
      </c>
      <c r="I320" s="24" t="s">
        <v>828</v>
      </c>
      <c r="J320" s="24" t="s">
        <v>829</v>
      </c>
      <c r="K320" s="24" t="s">
        <v>2057</v>
      </c>
      <c r="L320" s="24" t="s">
        <v>831</v>
      </c>
      <c r="M320" s="24" t="s">
        <v>1958</v>
      </c>
    </row>
    <row r="321" customFormat="false" ht="15" hidden="false" customHeight="false" outlineLevel="0" collapsed="false">
      <c r="A321" s="24" t="s">
        <v>408</v>
      </c>
      <c r="B321" s="24" t="s">
        <v>833</v>
      </c>
      <c r="C321" s="24" t="s">
        <v>2058</v>
      </c>
      <c r="D321" s="25" t="n">
        <v>1.1</v>
      </c>
      <c r="E321" s="24" t="s">
        <v>2059</v>
      </c>
      <c r="F321" s="24" t="s">
        <v>1204</v>
      </c>
      <c r="G321" s="24" t="s">
        <v>1961</v>
      </c>
      <c r="H321" s="25" t="n">
        <v>11</v>
      </c>
      <c r="I321" s="24" t="s">
        <v>828</v>
      </c>
      <c r="J321" s="24" t="s">
        <v>829</v>
      </c>
      <c r="K321" s="24" t="s">
        <v>2060</v>
      </c>
      <c r="L321" s="24" t="s">
        <v>831</v>
      </c>
      <c r="M321" s="24" t="s">
        <v>1963</v>
      </c>
    </row>
    <row r="322" customFormat="false" ht="15" hidden="false" customHeight="false" outlineLevel="0" collapsed="false">
      <c r="A322" s="24" t="s">
        <v>408</v>
      </c>
      <c r="B322" s="24" t="s">
        <v>40</v>
      </c>
      <c r="C322" s="24" t="s">
        <v>2061</v>
      </c>
      <c r="D322" s="25" t="n">
        <v>1</v>
      </c>
      <c r="E322" s="24" t="s">
        <v>1965</v>
      </c>
      <c r="F322" s="24" t="s">
        <v>1204</v>
      </c>
      <c r="G322" s="24" t="s">
        <v>1141</v>
      </c>
      <c r="H322" s="25" t="n">
        <v>10</v>
      </c>
      <c r="I322" s="24" t="s">
        <v>828</v>
      </c>
      <c r="J322" s="24" t="s">
        <v>829</v>
      </c>
      <c r="K322" s="24" t="s">
        <v>2062</v>
      </c>
      <c r="L322" s="24" t="s">
        <v>831</v>
      </c>
      <c r="M322" s="24" t="s">
        <v>1963</v>
      </c>
    </row>
    <row r="323" customFormat="false" ht="15" hidden="false" customHeight="false" outlineLevel="0" collapsed="false">
      <c r="A323" s="24" t="s">
        <v>411</v>
      </c>
      <c r="B323" s="24" t="s">
        <v>823</v>
      </c>
      <c r="C323" s="24" t="s">
        <v>2046</v>
      </c>
      <c r="D323" s="25" t="n">
        <v>1.3</v>
      </c>
      <c r="E323" s="24" t="s">
        <v>1276</v>
      </c>
      <c r="F323" s="24" t="s">
        <v>1277</v>
      </c>
      <c r="G323" s="24" t="s">
        <v>1956</v>
      </c>
      <c r="H323" s="25" t="n">
        <v>10.83</v>
      </c>
      <c r="I323" s="24" t="s">
        <v>828</v>
      </c>
      <c r="J323" s="24" t="s">
        <v>829</v>
      </c>
      <c r="K323" s="24" t="s">
        <v>2063</v>
      </c>
      <c r="L323" s="24" t="s">
        <v>831</v>
      </c>
      <c r="M323" s="24" t="s">
        <v>2064</v>
      </c>
    </row>
    <row r="324" customFormat="false" ht="15" hidden="false" customHeight="false" outlineLevel="0" collapsed="false">
      <c r="A324" s="24" t="s">
        <v>411</v>
      </c>
      <c r="B324" s="24" t="s">
        <v>833</v>
      </c>
      <c r="C324" s="24" t="s">
        <v>2050</v>
      </c>
      <c r="D324" s="25" t="n">
        <v>1.1</v>
      </c>
      <c r="E324" s="24" t="s">
        <v>1960</v>
      </c>
      <c r="F324" s="24" t="s">
        <v>1204</v>
      </c>
      <c r="G324" s="24" t="s">
        <v>1961</v>
      </c>
      <c r="H324" s="25" t="n">
        <v>11</v>
      </c>
      <c r="I324" s="24" t="s">
        <v>828</v>
      </c>
      <c r="J324" s="24" t="s">
        <v>829</v>
      </c>
      <c r="K324" s="24" t="s">
        <v>2051</v>
      </c>
      <c r="L324" s="24" t="s">
        <v>831</v>
      </c>
      <c r="M324" s="24" t="s">
        <v>2065</v>
      </c>
    </row>
    <row r="325" customFormat="false" ht="15" hidden="false" customHeight="false" outlineLevel="0" collapsed="false">
      <c r="A325" s="24" t="s">
        <v>411</v>
      </c>
      <c r="B325" s="24" t="s">
        <v>40</v>
      </c>
      <c r="C325" s="24" t="s">
        <v>2053</v>
      </c>
      <c r="D325" s="25" t="n">
        <v>1</v>
      </c>
      <c r="E325" s="24" t="s">
        <v>1965</v>
      </c>
      <c r="F325" s="24" t="s">
        <v>1204</v>
      </c>
      <c r="G325" s="24" t="s">
        <v>1141</v>
      </c>
      <c r="H325" s="25" t="n">
        <v>10</v>
      </c>
      <c r="I325" s="24" t="s">
        <v>828</v>
      </c>
      <c r="J325" s="24" t="s">
        <v>829</v>
      </c>
      <c r="K325" s="24" t="s">
        <v>2066</v>
      </c>
      <c r="L325" s="24" t="s">
        <v>831</v>
      </c>
      <c r="M325" s="24" t="s">
        <v>2067</v>
      </c>
    </row>
    <row r="326" customFormat="false" ht="15" hidden="false" customHeight="false" outlineLevel="0" collapsed="false">
      <c r="A326" s="24" t="s">
        <v>418</v>
      </c>
      <c r="B326" s="24" t="s">
        <v>823</v>
      </c>
      <c r="C326" s="24" t="s">
        <v>2068</v>
      </c>
      <c r="D326" s="25" t="n">
        <v>5.75</v>
      </c>
      <c r="E326" s="24" t="s">
        <v>2069</v>
      </c>
      <c r="F326" s="24" t="s">
        <v>2070</v>
      </c>
      <c r="G326" s="24" t="s">
        <v>2071</v>
      </c>
      <c r="H326" s="25" t="n">
        <v>9.58</v>
      </c>
      <c r="I326" s="24" t="s">
        <v>828</v>
      </c>
      <c r="J326" s="24" t="s">
        <v>829</v>
      </c>
      <c r="K326" s="24" t="s">
        <v>2072</v>
      </c>
      <c r="L326" s="24" t="s">
        <v>831</v>
      </c>
      <c r="M326" s="24" t="s">
        <v>2073</v>
      </c>
    </row>
    <row r="327" customFormat="false" ht="15" hidden="false" customHeight="false" outlineLevel="0" collapsed="false">
      <c r="A327" s="24" t="s">
        <v>418</v>
      </c>
      <c r="B327" s="24" t="s">
        <v>833</v>
      </c>
      <c r="C327" s="24"/>
      <c r="D327" s="25"/>
      <c r="E327" s="24"/>
      <c r="F327" s="24"/>
      <c r="G327" s="24"/>
      <c r="H327" s="25"/>
      <c r="I327" s="24" t="s">
        <v>993</v>
      </c>
      <c r="J327" s="24" t="s">
        <v>928</v>
      </c>
      <c r="K327" s="24" t="s">
        <v>2074</v>
      </c>
      <c r="L327" s="24" t="s">
        <v>831</v>
      </c>
      <c r="M327" s="24" t="s">
        <v>2075</v>
      </c>
    </row>
    <row r="328" customFormat="false" ht="15" hidden="false" customHeight="false" outlineLevel="0" collapsed="false">
      <c r="A328" s="24" t="s">
        <v>418</v>
      </c>
      <c r="B328" s="24" t="s">
        <v>40</v>
      </c>
      <c r="C328" s="24" t="s">
        <v>2076</v>
      </c>
      <c r="D328" s="25" t="n">
        <v>5.75</v>
      </c>
      <c r="E328" s="24" t="s">
        <v>2077</v>
      </c>
      <c r="F328" s="24" t="s">
        <v>2070</v>
      </c>
      <c r="G328" s="24" t="s">
        <v>2078</v>
      </c>
      <c r="H328" s="25" t="n">
        <v>9.58</v>
      </c>
      <c r="I328" s="24" t="s">
        <v>828</v>
      </c>
      <c r="J328" s="24" t="s">
        <v>829</v>
      </c>
      <c r="K328" s="24" t="s">
        <v>2079</v>
      </c>
      <c r="L328" s="24" t="s">
        <v>831</v>
      </c>
      <c r="M328" s="24" t="s">
        <v>2080</v>
      </c>
    </row>
    <row r="329" customFormat="false" ht="15" hidden="false" customHeight="false" outlineLevel="0" collapsed="false">
      <c r="A329" s="24" t="s">
        <v>422</v>
      </c>
      <c r="B329" s="24" t="s">
        <v>823</v>
      </c>
      <c r="C329" s="24" t="s">
        <v>2081</v>
      </c>
      <c r="D329" s="25" t="n">
        <v>3.65</v>
      </c>
      <c r="E329" s="24" t="s">
        <v>2082</v>
      </c>
      <c r="F329" s="24" t="s">
        <v>2083</v>
      </c>
      <c r="G329" s="24" t="s">
        <v>2084</v>
      </c>
      <c r="H329" s="25" t="n">
        <v>2.7</v>
      </c>
      <c r="I329" s="24" t="s">
        <v>828</v>
      </c>
      <c r="J329" s="24" t="s">
        <v>829</v>
      </c>
      <c r="K329" s="24" t="s">
        <v>2085</v>
      </c>
      <c r="L329" s="24" t="s">
        <v>831</v>
      </c>
      <c r="M329" s="24" t="s">
        <v>2086</v>
      </c>
    </row>
    <row r="330" customFormat="false" ht="15" hidden="false" customHeight="false" outlineLevel="0" collapsed="false">
      <c r="A330" s="24" t="s">
        <v>422</v>
      </c>
      <c r="B330" s="24" t="s">
        <v>833</v>
      </c>
      <c r="C330" s="24" t="s">
        <v>2087</v>
      </c>
      <c r="D330" s="25" t="n">
        <v>2.25</v>
      </c>
      <c r="E330" s="24" t="s">
        <v>835</v>
      </c>
      <c r="F330" s="24" t="s">
        <v>836</v>
      </c>
      <c r="G330" s="24" t="s">
        <v>2088</v>
      </c>
      <c r="H330" s="25" t="n">
        <v>2.25</v>
      </c>
      <c r="I330" s="24" t="s">
        <v>828</v>
      </c>
      <c r="J330" s="24" t="s">
        <v>829</v>
      </c>
      <c r="K330" s="24" t="s">
        <v>2089</v>
      </c>
      <c r="L330" s="24" t="s">
        <v>831</v>
      </c>
      <c r="M330" s="24" t="s">
        <v>2090</v>
      </c>
    </row>
    <row r="331" customFormat="false" ht="15" hidden="false" customHeight="false" outlineLevel="0" collapsed="false">
      <c r="A331" s="24" t="s">
        <v>422</v>
      </c>
      <c r="B331" s="24" t="s">
        <v>40</v>
      </c>
      <c r="C331" s="24" t="s">
        <v>2091</v>
      </c>
      <c r="D331" s="25" t="n">
        <v>2.25</v>
      </c>
      <c r="E331" s="24" t="s">
        <v>841</v>
      </c>
      <c r="F331" s="24" t="s">
        <v>836</v>
      </c>
      <c r="G331" s="24" t="s">
        <v>2092</v>
      </c>
      <c r="H331" s="25" t="n">
        <v>2.25</v>
      </c>
      <c r="I331" s="24" t="s">
        <v>828</v>
      </c>
      <c r="J331" s="24" t="s">
        <v>829</v>
      </c>
      <c r="K331" s="24" t="s">
        <v>2093</v>
      </c>
      <c r="L331" s="24" t="s">
        <v>831</v>
      </c>
      <c r="M331" s="24" t="s">
        <v>2094</v>
      </c>
    </row>
    <row r="332" customFormat="false" ht="15" hidden="false" customHeight="false" outlineLevel="0" collapsed="false">
      <c r="A332" s="24" t="s">
        <v>426</v>
      </c>
      <c r="B332" s="24" t="s">
        <v>823</v>
      </c>
      <c r="C332" s="24" t="s">
        <v>2095</v>
      </c>
      <c r="D332" s="25" t="n">
        <v>4.5</v>
      </c>
      <c r="E332" s="24" t="s">
        <v>1144</v>
      </c>
      <c r="F332" s="24" t="s">
        <v>954</v>
      </c>
      <c r="G332" s="24" t="s">
        <v>1990</v>
      </c>
      <c r="H332" s="25" t="n">
        <v>15</v>
      </c>
      <c r="I332" s="24" t="s">
        <v>828</v>
      </c>
      <c r="J332" s="24" t="s">
        <v>829</v>
      </c>
      <c r="K332" s="24" t="s">
        <v>2096</v>
      </c>
      <c r="L332" s="24" t="s">
        <v>831</v>
      </c>
      <c r="M332" s="24" t="s">
        <v>2097</v>
      </c>
    </row>
    <row r="333" customFormat="false" ht="15" hidden="false" customHeight="false" outlineLevel="0" collapsed="false">
      <c r="A333" s="24" t="s">
        <v>426</v>
      </c>
      <c r="B333" s="24" t="s">
        <v>833</v>
      </c>
      <c r="C333" s="24" t="s">
        <v>2098</v>
      </c>
      <c r="D333" s="25" t="n">
        <v>3.5</v>
      </c>
      <c r="E333" s="24" t="s">
        <v>1023</v>
      </c>
      <c r="F333" s="24" t="s">
        <v>1024</v>
      </c>
      <c r="G333" s="24" t="s">
        <v>1029</v>
      </c>
      <c r="H333" s="25" t="n">
        <v>14</v>
      </c>
      <c r="I333" s="24" t="s">
        <v>828</v>
      </c>
      <c r="J333" s="24" t="s">
        <v>829</v>
      </c>
      <c r="K333" s="24" t="s">
        <v>2099</v>
      </c>
      <c r="L333" s="24" t="s">
        <v>831</v>
      </c>
      <c r="M333" s="24"/>
    </row>
    <row r="334" customFormat="false" ht="15" hidden="false" customHeight="false" outlineLevel="0" collapsed="false">
      <c r="A334" s="24" t="s">
        <v>426</v>
      </c>
      <c r="B334" s="24" t="s">
        <v>40</v>
      </c>
      <c r="C334" s="24" t="s">
        <v>2100</v>
      </c>
      <c r="D334" s="25" t="n">
        <v>4.75</v>
      </c>
      <c r="E334" s="24" t="s">
        <v>2101</v>
      </c>
      <c r="F334" s="24" t="s">
        <v>2102</v>
      </c>
      <c r="G334" s="24" t="s">
        <v>1598</v>
      </c>
      <c r="H334" s="25" t="n">
        <v>12.5</v>
      </c>
      <c r="I334" s="24" t="s">
        <v>828</v>
      </c>
      <c r="J334" s="24" t="s">
        <v>829</v>
      </c>
      <c r="K334" s="24" t="s">
        <v>2103</v>
      </c>
      <c r="L334" s="24" t="s">
        <v>831</v>
      </c>
      <c r="M334" s="24" t="s">
        <v>2104</v>
      </c>
    </row>
    <row r="335" customFormat="false" ht="15" hidden="false" customHeight="false" outlineLevel="0" collapsed="false">
      <c r="A335" s="24" t="s">
        <v>430</v>
      </c>
      <c r="B335" s="24" t="s">
        <v>823</v>
      </c>
      <c r="C335" s="24" t="s">
        <v>2105</v>
      </c>
      <c r="D335" s="25" t="n">
        <v>4.5</v>
      </c>
      <c r="E335" s="24" t="s">
        <v>825</v>
      </c>
      <c r="F335" s="24" t="s">
        <v>826</v>
      </c>
      <c r="G335" s="24" t="s">
        <v>991</v>
      </c>
      <c r="H335" s="25" t="n">
        <v>9</v>
      </c>
      <c r="I335" s="24" t="s">
        <v>828</v>
      </c>
      <c r="J335" s="24" t="s">
        <v>829</v>
      </c>
      <c r="K335" s="24" t="s">
        <v>2106</v>
      </c>
      <c r="L335" s="24" t="s">
        <v>831</v>
      </c>
      <c r="M335" s="24" t="s">
        <v>2107</v>
      </c>
    </row>
    <row r="336" customFormat="false" ht="15" hidden="false" customHeight="false" outlineLevel="0" collapsed="false">
      <c r="A336" s="24" t="s">
        <v>430</v>
      </c>
      <c r="B336" s="24" t="s">
        <v>833</v>
      </c>
      <c r="C336" s="24" t="s">
        <v>2108</v>
      </c>
      <c r="D336" s="25" t="n">
        <v>4.95</v>
      </c>
      <c r="E336" s="24" t="s">
        <v>825</v>
      </c>
      <c r="F336" s="24" t="s">
        <v>826</v>
      </c>
      <c r="G336" s="24" t="s">
        <v>2109</v>
      </c>
      <c r="H336" s="25" t="n">
        <v>9.9</v>
      </c>
      <c r="I336" s="24" t="s">
        <v>828</v>
      </c>
      <c r="J336" s="24" t="s">
        <v>829</v>
      </c>
      <c r="K336" s="24" t="s">
        <v>2110</v>
      </c>
      <c r="L336" s="24" t="s">
        <v>831</v>
      </c>
      <c r="M336" s="24" t="s">
        <v>2111</v>
      </c>
    </row>
    <row r="337" customFormat="false" ht="15" hidden="false" customHeight="false" outlineLevel="0" collapsed="false">
      <c r="A337" s="24" t="s">
        <v>430</v>
      </c>
      <c r="B337" s="24" t="s">
        <v>40</v>
      </c>
      <c r="C337" s="24" t="s">
        <v>2112</v>
      </c>
      <c r="D337" s="25" t="n">
        <v>4.75</v>
      </c>
      <c r="E337" s="24" t="s">
        <v>920</v>
      </c>
      <c r="F337" s="24" t="s">
        <v>826</v>
      </c>
      <c r="G337" s="24" t="s">
        <v>1673</v>
      </c>
      <c r="H337" s="25" t="n">
        <v>9.5</v>
      </c>
      <c r="I337" s="24" t="s">
        <v>828</v>
      </c>
      <c r="J337" s="24" t="s">
        <v>829</v>
      </c>
      <c r="K337" s="24" t="s">
        <v>2113</v>
      </c>
      <c r="L337" s="24" t="s">
        <v>831</v>
      </c>
      <c r="M337" s="24"/>
    </row>
    <row r="338" customFormat="false" ht="15" hidden="false" customHeight="false" outlineLevel="0" collapsed="false">
      <c r="A338" s="24" t="s">
        <v>434</v>
      </c>
      <c r="B338" s="24" t="s">
        <v>823</v>
      </c>
      <c r="C338" s="24" t="s">
        <v>2114</v>
      </c>
      <c r="D338" s="25" t="n">
        <v>6.25</v>
      </c>
      <c r="E338" s="24" t="s">
        <v>2115</v>
      </c>
      <c r="F338" s="24" t="s">
        <v>2116</v>
      </c>
      <c r="G338" s="24" t="s">
        <v>2117</v>
      </c>
      <c r="H338" s="25" t="n">
        <v>13.77</v>
      </c>
      <c r="I338" s="24" t="s">
        <v>828</v>
      </c>
      <c r="J338" s="24" t="s">
        <v>829</v>
      </c>
      <c r="K338" s="24" t="s">
        <v>2118</v>
      </c>
      <c r="L338" s="24" t="s">
        <v>831</v>
      </c>
      <c r="M338" s="24" t="s">
        <v>2119</v>
      </c>
    </row>
    <row r="339" customFormat="false" ht="15" hidden="false" customHeight="false" outlineLevel="0" collapsed="false">
      <c r="A339" s="24" t="s">
        <v>434</v>
      </c>
      <c r="B339" s="24" t="s">
        <v>833</v>
      </c>
      <c r="C339" s="24" t="s">
        <v>2120</v>
      </c>
      <c r="D339" s="25" t="n">
        <v>4.25</v>
      </c>
      <c r="E339" s="24" t="s">
        <v>1023</v>
      </c>
      <c r="F339" s="24" t="s">
        <v>1024</v>
      </c>
      <c r="G339" s="24" t="s">
        <v>1705</v>
      </c>
      <c r="H339" s="25" t="n">
        <v>17</v>
      </c>
      <c r="I339" s="24" t="s">
        <v>828</v>
      </c>
      <c r="J339" s="24" t="s">
        <v>829</v>
      </c>
      <c r="K339" s="24" t="s">
        <v>2121</v>
      </c>
      <c r="L339" s="24" t="s">
        <v>831</v>
      </c>
      <c r="M339" s="24" t="s">
        <v>2122</v>
      </c>
    </row>
    <row r="340" customFormat="false" ht="15" hidden="false" customHeight="false" outlineLevel="0" collapsed="false">
      <c r="A340" s="24" t="s">
        <v>434</v>
      </c>
      <c r="B340" s="24" t="s">
        <v>40</v>
      </c>
      <c r="C340" s="24" t="s">
        <v>2123</v>
      </c>
      <c r="D340" s="25" t="n">
        <v>6.5</v>
      </c>
      <c r="E340" s="24" t="s">
        <v>920</v>
      </c>
      <c r="F340" s="24" t="s">
        <v>826</v>
      </c>
      <c r="G340" s="24" t="s">
        <v>1469</v>
      </c>
      <c r="H340" s="25" t="n">
        <v>13</v>
      </c>
      <c r="I340" s="24" t="s">
        <v>828</v>
      </c>
      <c r="J340" s="24" t="s">
        <v>829</v>
      </c>
      <c r="K340" s="24" t="s">
        <v>2124</v>
      </c>
      <c r="L340" s="24" t="s">
        <v>831</v>
      </c>
      <c r="M340" s="24"/>
    </row>
    <row r="341" customFormat="false" ht="15" hidden="false" customHeight="false" outlineLevel="0" collapsed="false">
      <c r="A341" s="24" t="s">
        <v>438</v>
      </c>
      <c r="B341" s="24" t="s">
        <v>823</v>
      </c>
      <c r="C341" s="24" t="s">
        <v>2125</v>
      </c>
      <c r="D341" s="25" t="n">
        <v>2.5</v>
      </c>
      <c r="E341" s="24" t="s">
        <v>825</v>
      </c>
      <c r="F341" s="24" t="s">
        <v>826</v>
      </c>
      <c r="G341" s="24" t="s">
        <v>1720</v>
      </c>
      <c r="H341" s="25" t="n">
        <v>5</v>
      </c>
      <c r="I341" s="24" t="s">
        <v>828</v>
      </c>
      <c r="J341" s="24" t="s">
        <v>829</v>
      </c>
      <c r="K341" s="24" t="s">
        <v>2126</v>
      </c>
      <c r="L341" s="24" t="s">
        <v>831</v>
      </c>
      <c r="M341" s="24" t="s">
        <v>2127</v>
      </c>
    </row>
    <row r="342" customFormat="false" ht="15" hidden="false" customHeight="false" outlineLevel="0" collapsed="false">
      <c r="A342" s="24" t="s">
        <v>438</v>
      </c>
      <c r="B342" s="24" t="s">
        <v>833</v>
      </c>
      <c r="C342" s="24" t="s">
        <v>2128</v>
      </c>
      <c r="D342" s="25" t="n">
        <v>2.45</v>
      </c>
      <c r="E342" s="24" t="s">
        <v>825</v>
      </c>
      <c r="F342" s="24" t="s">
        <v>826</v>
      </c>
      <c r="G342" s="24" t="s">
        <v>2129</v>
      </c>
      <c r="H342" s="25" t="n">
        <v>4.9</v>
      </c>
      <c r="I342" s="24" t="s">
        <v>828</v>
      </c>
      <c r="J342" s="24" t="s">
        <v>829</v>
      </c>
      <c r="K342" s="24" t="s">
        <v>2130</v>
      </c>
      <c r="L342" s="24" t="s">
        <v>831</v>
      </c>
      <c r="M342" s="24" t="s">
        <v>2131</v>
      </c>
    </row>
    <row r="343" customFormat="false" ht="15" hidden="false" customHeight="false" outlineLevel="0" collapsed="false">
      <c r="A343" s="24" t="s">
        <v>438</v>
      </c>
      <c r="B343" s="24" t="s">
        <v>40</v>
      </c>
      <c r="C343" s="24" t="s">
        <v>2132</v>
      </c>
      <c r="D343" s="25" t="n">
        <v>2.4</v>
      </c>
      <c r="E343" s="24" t="s">
        <v>920</v>
      </c>
      <c r="F343" s="24" t="s">
        <v>826</v>
      </c>
      <c r="G343" s="24" t="s">
        <v>2133</v>
      </c>
      <c r="H343" s="25" t="n">
        <v>4.8</v>
      </c>
      <c r="I343" s="24" t="s">
        <v>828</v>
      </c>
      <c r="J343" s="24" t="s">
        <v>829</v>
      </c>
      <c r="K343" s="24" t="s">
        <v>2134</v>
      </c>
      <c r="L343" s="24" t="s">
        <v>831</v>
      </c>
      <c r="M343" s="24" t="s">
        <v>2135</v>
      </c>
    </row>
    <row r="344" customFormat="false" ht="15" hidden="false" customHeight="false" outlineLevel="0" collapsed="false">
      <c r="A344" s="24" t="s">
        <v>442</v>
      </c>
      <c r="B344" s="24" t="s">
        <v>823</v>
      </c>
      <c r="C344" s="24" t="s">
        <v>2136</v>
      </c>
      <c r="D344" s="25" t="n">
        <v>4</v>
      </c>
      <c r="E344" s="24" t="s">
        <v>1023</v>
      </c>
      <c r="F344" s="24" t="s">
        <v>1024</v>
      </c>
      <c r="G344" s="24" t="s">
        <v>2137</v>
      </c>
      <c r="H344" s="25" t="n">
        <v>16</v>
      </c>
      <c r="I344" s="24" t="s">
        <v>828</v>
      </c>
      <c r="J344" s="24" t="s">
        <v>829</v>
      </c>
      <c r="K344" s="24" t="s">
        <v>2138</v>
      </c>
      <c r="L344" s="24" t="s">
        <v>831</v>
      </c>
      <c r="M344" s="24" t="s">
        <v>2139</v>
      </c>
    </row>
    <row r="345" customFormat="false" ht="15" hidden="false" customHeight="false" outlineLevel="0" collapsed="false">
      <c r="A345" s="24" t="s">
        <v>442</v>
      </c>
      <c r="B345" s="24" t="s">
        <v>833</v>
      </c>
      <c r="C345" s="24" t="s">
        <v>2140</v>
      </c>
      <c r="D345" s="25" t="n">
        <v>4.15</v>
      </c>
      <c r="E345" s="24" t="s">
        <v>1023</v>
      </c>
      <c r="F345" s="24" t="s">
        <v>1024</v>
      </c>
      <c r="G345" s="24" t="s">
        <v>2141</v>
      </c>
      <c r="H345" s="25" t="n">
        <v>16.6</v>
      </c>
      <c r="I345" s="24" t="s">
        <v>828</v>
      </c>
      <c r="J345" s="24" t="s">
        <v>829</v>
      </c>
      <c r="K345" s="24" t="s">
        <v>2142</v>
      </c>
      <c r="L345" s="24" t="s">
        <v>831</v>
      </c>
      <c r="M345" s="24" t="s">
        <v>2143</v>
      </c>
    </row>
    <row r="346" customFormat="false" ht="15" hidden="false" customHeight="false" outlineLevel="0" collapsed="false">
      <c r="A346" s="24" t="s">
        <v>442</v>
      </c>
      <c r="B346" s="24" t="s">
        <v>40</v>
      </c>
      <c r="C346" s="24" t="s">
        <v>2144</v>
      </c>
      <c r="D346" s="25" t="n">
        <v>6.2</v>
      </c>
      <c r="E346" s="24" t="s">
        <v>1032</v>
      </c>
      <c r="F346" s="24" t="s">
        <v>1024</v>
      </c>
      <c r="G346" s="24" t="s">
        <v>2145</v>
      </c>
      <c r="H346" s="25" t="n">
        <v>24.8</v>
      </c>
      <c r="I346" s="24" t="s">
        <v>828</v>
      </c>
      <c r="J346" s="24" t="s">
        <v>829</v>
      </c>
      <c r="K346" s="24" t="s">
        <v>2146</v>
      </c>
      <c r="L346" s="24" t="s">
        <v>831</v>
      </c>
      <c r="M346" s="24" t="s">
        <v>2147</v>
      </c>
    </row>
    <row r="347" customFormat="false" ht="15" hidden="false" customHeight="false" outlineLevel="0" collapsed="false">
      <c r="A347" s="24" t="s">
        <v>446</v>
      </c>
      <c r="B347" s="24" t="s">
        <v>823</v>
      </c>
      <c r="C347" s="24" t="s">
        <v>2148</v>
      </c>
      <c r="D347" s="25" t="n">
        <v>2.5</v>
      </c>
      <c r="E347" s="24" t="s">
        <v>825</v>
      </c>
      <c r="F347" s="24" t="s">
        <v>826</v>
      </c>
      <c r="G347" s="24" t="s">
        <v>1720</v>
      </c>
      <c r="H347" s="25" t="n">
        <v>5</v>
      </c>
      <c r="I347" s="24" t="s">
        <v>828</v>
      </c>
      <c r="J347" s="24" t="s">
        <v>829</v>
      </c>
      <c r="K347" s="24" t="s">
        <v>2149</v>
      </c>
      <c r="L347" s="24" t="s">
        <v>831</v>
      </c>
      <c r="M347" s="24"/>
    </row>
    <row r="348" customFormat="false" ht="15" hidden="false" customHeight="false" outlineLevel="0" collapsed="false">
      <c r="A348" s="24" t="s">
        <v>446</v>
      </c>
      <c r="B348" s="24" t="s">
        <v>833</v>
      </c>
      <c r="C348" s="24" t="s">
        <v>2150</v>
      </c>
      <c r="D348" s="25" t="n">
        <v>2.65</v>
      </c>
      <c r="E348" s="24" t="s">
        <v>825</v>
      </c>
      <c r="F348" s="24" t="s">
        <v>826</v>
      </c>
      <c r="G348" s="24" t="s">
        <v>2151</v>
      </c>
      <c r="H348" s="25" t="n">
        <v>5.3</v>
      </c>
      <c r="I348" s="24" t="s">
        <v>828</v>
      </c>
      <c r="J348" s="24" t="s">
        <v>829</v>
      </c>
      <c r="K348" s="24" t="s">
        <v>2152</v>
      </c>
      <c r="L348" s="24" t="s">
        <v>831</v>
      </c>
      <c r="M348" s="24"/>
    </row>
    <row r="349" customFormat="false" ht="15" hidden="false" customHeight="false" outlineLevel="0" collapsed="false">
      <c r="A349" s="24" t="s">
        <v>446</v>
      </c>
      <c r="B349" s="24" t="s">
        <v>40</v>
      </c>
      <c r="C349" s="24" t="s">
        <v>2153</v>
      </c>
      <c r="D349" s="25" t="n">
        <v>2.55</v>
      </c>
      <c r="E349" s="24" t="s">
        <v>920</v>
      </c>
      <c r="F349" s="24" t="s">
        <v>826</v>
      </c>
      <c r="G349" s="24" t="s">
        <v>2154</v>
      </c>
      <c r="H349" s="25" t="n">
        <v>5.1</v>
      </c>
      <c r="I349" s="24" t="s">
        <v>828</v>
      </c>
      <c r="J349" s="24" t="s">
        <v>829</v>
      </c>
      <c r="K349" s="24" t="s">
        <v>2155</v>
      </c>
      <c r="L349" s="24" t="s">
        <v>831</v>
      </c>
      <c r="M349" s="24"/>
    </row>
    <row r="350" customFormat="false" ht="15" hidden="false" customHeight="false" outlineLevel="0" collapsed="false">
      <c r="A350" s="24" t="s">
        <v>450</v>
      </c>
      <c r="B350" s="24" t="s">
        <v>823</v>
      </c>
      <c r="C350" s="24" t="s">
        <v>2156</v>
      </c>
      <c r="D350" s="25" t="n">
        <v>1.7</v>
      </c>
      <c r="E350" s="24" t="s">
        <v>1108</v>
      </c>
      <c r="F350" s="24" t="s">
        <v>940</v>
      </c>
      <c r="G350" s="24" t="s">
        <v>2157</v>
      </c>
      <c r="H350" s="25" t="n">
        <v>11.33</v>
      </c>
      <c r="I350" s="24" t="s">
        <v>828</v>
      </c>
      <c r="J350" s="24" t="s">
        <v>829</v>
      </c>
      <c r="K350" s="24" t="s">
        <v>2158</v>
      </c>
      <c r="L350" s="24" t="s">
        <v>831</v>
      </c>
      <c r="M350" s="24" t="s">
        <v>2159</v>
      </c>
    </row>
    <row r="351" customFormat="false" ht="15" hidden="false" customHeight="false" outlineLevel="0" collapsed="false">
      <c r="A351" s="24" t="s">
        <v>450</v>
      </c>
      <c r="B351" s="24" t="s">
        <v>833</v>
      </c>
      <c r="C351" s="24" t="s">
        <v>2160</v>
      </c>
      <c r="D351" s="25" t="n">
        <v>1.8</v>
      </c>
      <c r="E351" s="24" t="s">
        <v>1108</v>
      </c>
      <c r="F351" s="24" t="s">
        <v>940</v>
      </c>
      <c r="G351" s="24" t="s">
        <v>2161</v>
      </c>
      <c r="H351" s="25" t="n">
        <v>12</v>
      </c>
      <c r="I351" s="24" t="s">
        <v>828</v>
      </c>
      <c r="J351" s="24" t="s">
        <v>829</v>
      </c>
      <c r="K351" s="24" t="s">
        <v>2162</v>
      </c>
      <c r="L351" s="24" t="s">
        <v>831</v>
      </c>
      <c r="M351" s="24" t="s">
        <v>2163</v>
      </c>
    </row>
    <row r="352" customFormat="false" ht="15" hidden="false" customHeight="false" outlineLevel="0" collapsed="false">
      <c r="A352" s="24" t="s">
        <v>450</v>
      </c>
      <c r="B352" s="24" t="s">
        <v>40</v>
      </c>
      <c r="C352" s="24" t="s">
        <v>2164</v>
      </c>
      <c r="D352" s="25" t="n">
        <v>1.8</v>
      </c>
      <c r="E352" s="24" t="s">
        <v>2165</v>
      </c>
      <c r="F352" s="24" t="s">
        <v>940</v>
      </c>
      <c r="G352" s="24" t="s">
        <v>1696</v>
      </c>
      <c r="H352" s="25" t="n">
        <v>12</v>
      </c>
      <c r="I352" s="24" t="s">
        <v>828</v>
      </c>
      <c r="J352" s="24" t="s">
        <v>829</v>
      </c>
      <c r="K352" s="24" t="s">
        <v>2166</v>
      </c>
      <c r="L352" s="24" t="s">
        <v>831</v>
      </c>
      <c r="M352" s="24" t="s">
        <v>2167</v>
      </c>
    </row>
    <row r="353" customFormat="false" ht="15" hidden="false" customHeight="false" outlineLevel="0" collapsed="false">
      <c r="A353" s="24" t="s">
        <v>801</v>
      </c>
      <c r="B353" s="24" t="s">
        <v>823</v>
      </c>
      <c r="C353" s="24" t="s">
        <v>2168</v>
      </c>
      <c r="D353" s="25" t="n">
        <v>0.5</v>
      </c>
      <c r="E353" s="24" t="s">
        <v>2169</v>
      </c>
      <c r="F353" s="24"/>
      <c r="G353" s="24" t="s">
        <v>842</v>
      </c>
      <c r="H353" s="25"/>
      <c r="I353" s="24" t="s">
        <v>1798</v>
      </c>
      <c r="J353" s="24" t="s">
        <v>928</v>
      </c>
      <c r="K353" s="24" t="s">
        <v>2170</v>
      </c>
      <c r="L353" s="24" t="s">
        <v>831</v>
      </c>
      <c r="M353" s="24" t="s">
        <v>2171</v>
      </c>
    </row>
    <row r="354" customFormat="false" ht="15" hidden="false" customHeight="false" outlineLevel="0" collapsed="false">
      <c r="A354" s="24" t="s">
        <v>801</v>
      </c>
      <c r="B354" s="24" t="s">
        <v>833</v>
      </c>
      <c r="C354" s="24" t="s">
        <v>2172</v>
      </c>
      <c r="D354" s="25" t="n">
        <v>0.45</v>
      </c>
      <c r="E354" s="24" t="s">
        <v>2173</v>
      </c>
      <c r="F354" s="24" t="s">
        <v>2174</v>
      </c>
      <c r="G354" s="24" t="s">
        <v>2175</v>
      </c>
      <c r="H354" s="25" t="n">
        <v>1.91</v>
      </c>
      <c r="I354" s="24" t="s">
        <v>828</v>
      </c>
      <c r="J354" s="24" t="s">
        <v>829</v>
      </c>
      <c r="K354" s="24" t="s">
        <v>2176</v>
      </c>
      <c r="L354" s="24" t="s">
        <v>831</v>
      </c>
      <c r="M354" s="24" t="s">
        <v>2177</v>
      </c>
    </row>
    <row r="355" customFormat="false" ht="15" hidden="false" customHeight="false" outlineLevel="0" collapsed="false">
      <c r="A355" s="24" t="s">
        <v>801</v>
      </c>
      <c r="B355" s="24" t="s">
        <v>40</v>
      </c>
      <c r="C355" s="24" t="s">
        <v>2178</v>
      </c>
      <c r="D355" s="25" t="n">
        <v>0.46</v>
      </c>
      <c r="E355" s="24" t="s">
        <v>2179</v>
      </c>
      <c r="F355" s="24" t="s">
        <v>2174</v>
      </c>
      <c r="G355" s="24" t="s">
        <v>2180</v>
      </c>
      <c r="H355" s="25" t="n">
        <v>1.96</v>
      </c>
      <c r="I355" s="24" t="s">
        <v>828</v>
      </c>
      <c r="J355" s="24" t="s">
        <v>829</v>
      </c>
      <c r="K355" s="24" t="s">
        <v>2181</v>
      </c>
      <c r="L355" s="24" t="s">
        <v>831</v>
      </c>
      <c r="M355" s="24" t="s">
        <v>2182</v>
      </c>
    </row>
    <row r="356" customFormat="false" ht="15" hidden="false" customHeight="false" outlineLevel="0" collapsed="false">
      <c r="A356" s="24" t="s">
        <v>454</v>
      </c>
      <c r="B356" s="24" t="s">
        <v>823</v>
      </c>
      <c r="C356" s="24" t="s">
        <v>2183</v>
      </c>
      <c r="D356" s="25" t="n">
        <v>1.19</v>
      </c>
      <c r="E356" s="24" t="s">
        <v>1139</v>
      </c>
      <c r="F356" s="24" t="s">
        <v>1140</v>
      </c>
      <c r="G356" s="24" t="s">
        <v>2184</v>
      </c>
      <c r="H356" s="25" t="n">
        <v>6.8</v>
      </c>
      <c r="I356" s="24" t="s">
        <v>828</v>
      </c>
      <c r="J356" s="24" t="s">
        <v>829</v>
      </c>
      <c r="K356" s="24" t="s">
        <v>2185</v>
      </c>
      <c r="L356" s="24" t="s">
        <v>831</v>
      </c>
      <c r="M356" s="24" t="s">
        <v>2186</v>
      </c>
    </row>
    <row r="357" customFormat="false" ht="15" hidden="false" customHeight="false" outlineLevel="0" collapsed="false">
      <c r="A357" s="24" t="s">
        <v>454</v>
      </c>
      <c r="B357" s="24" t="s">
        <v>833</v>
      </c>
      <c r="C357" s="24" t="s">
        <v>2187</v>
      </c>
      <c r="D357" s="25" t="n">
        <v>1.6</v>
      </c>
      <c r="E357" s="24" t="s">
        <v>2188</v>
      </c>
      <c r="F357" s="24" t="s">
        <v>1845</v>
      </c>
      <c r="G357" s="24" t="s">
        <v>2189</v>
      </c>
      <c r="H357" s="25" t="n">
        <v>6.96</v>
      </c>
      <c r="I357" s="24" t="s">
        <v>828</v>
      </c>
      <c r="J357" s="24" t="s">
        <v>829</v>
      </c>
      <c r="K357" s="24" t="s">
        <v>2190</v>
      </c>
      <c r="L357" s="24" t="s">
        <v>831</v>
      </c>
      <c r="M357" s="24" t="s">
        <v>2191</v>
      </c>
    </row>
    <row r="358" customFormat="false" ht="15" hidden="false" customHeight="false" outlineLevel="0" collapsed="false">
      <c r="A358" s="24" t="s">
        <v>454</v>
      </c>
      <c r="B358" s="24" t="s">
        <v>40</v>
      </c>
      <c r="C358" s="24" t="s">
        <v>2192</v>
      </c>
      <c r="D358" s="25" t="n">
        <v>1.25</v>
      </c>
      <c r="E358" s="24" t="s">
        <v>2193</v>
      </c>
      <c r="F358" s="24" t="s">
        <v>1140</v>
      </c>
      <c r="G358" s="24" t="s">
        <v>2194</v>
      </c>
      <c r="H358" s="25" t="n">
        <v>7.14</v>
      </c>
      <c r="I358" s="24" t="s">
        <v>828</v>
      </c>
      <c r="J358" s="24" t="s">
        <v>829</v>
      </c>
      <c r="K358" s="24" t="s">
        <v>2195</v>
      </c>
      <c r="L358" s="24" t="s">
        <v>831</v>
      </c>
      <c r="M358" s="24" t="s">
        <v>2196</v>
      </c>
    </row>
  </sheetData>
  <autoFilter ref="A1:M3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6" width="50"/>
    <col collapsed="false" customWidth="true" hidden="false" outlineLevel="0" max="2" min="2" style="6" width="14"/>
    <col collapsed="false" customWidth="true" hidden="false" outlineLevel="0" max="3" min="3" style="6" width="16"/>
    <col collapsed="false" customWidth="true" hidden="false" outlineLevel="0" max="4" min="4" style="6" width="40"/>
  </cols>
  <sheetData>
    <row r="1" customFormat="false" ht="15" hidden="false" customHeight="true" outlineLevel="0" collapsed="false">
      <c r="A1" s="26" t="s">
        <v>2197</v>
      </c>
      <c r="B1" s="26" t="s">
        <v>2198</v>
      </c>
      <c r="C1" s="26" t="s">
        <v>2199</v>
      </c>
      <c r="D1" s="26" t="s">
        <v>2200</v>
      </c>
    </row>
    <row r="2" customFormat="false" ht="15" hidden="false" customHeight="true" outlineLevel="0" collapsed="false">
      <c r="A2" s="27" t="s">
        <v>2201</v>
      </c>
      <c r="B2" s="27" t="s">
        <v>2202</v>
      </c>
      <c r="C2" s="28" t="n">
        <v>2.25</v>
      </c>
      <c r="D2" s="27" t="s">
        <v>691</v>
      </c>
    </row>
    <row r="3" customFormat="false" ht="15" hidden="false" customHeight="true" outlineLevel="0" collapsed="false">
      <c r="A3" s="27" t="s">
        <v>2203</v>
      </c>
      <c r="B3" s="27" t="s">
        <v>2204</v>
      </c>
      <c r="C3" s="28" t="n">
        <v>0.89</v>
      </c>
      <c r="D3" s="27" t="s">
        <v>655</v>
      </c>
    </row>
    <row r="4" customFormat="false" ht="15" hidden="false" customHeight="true" outlineLevel="0" collapsed="false">
      <c r="A4" s="27" t="s">
        <v>2205</v>
      </c>
      <c r="B4" s="27" t="s">
        <v>2202</v>
      </c>
      <c r="C4" s="28" t="n">
        <v>1.14</v>
      </c>
      <c r="D4" s="27" t="s">
        <v>687</v>
      </c>
    </row>
    <row r="5" customFormat="false" ht="15" hidden="false" customHeight="true" outlineLevel="0" collapsed="false">
      <c r="A5" s="27" t="s">
        <v>2206</v>
      </c>
      <c r="B5" s="27" t="s">
        <v>2202</v>
      </c>
      <c r="C5" s="28" t="n">
        <v>5.32</v>
      </c>
      <c r="D5" s="27" t="s">
        <v>635</v>
      </c>
    </row>
    <row r="6" customFormat="false" ht="15" hidden="false" customHeight="true" outlineLevel="0" collapsed="false">
      <c r="A6" s="27" t="s">
        <v>2207</v>
      </c>
      <c r="B6" s="27" t="s">
        <v>2202</v>
      </c>
      <c r="C6" s="28" t="n">
        <v>10.96</v>
      </c>
      <c r="D6" s="27" t="s">
        <v>2208</v>
      </c>
    </row>
    <row r="7" customFormat="false" ht="15" hidden="false" customHeight="true" outlineLevel="0" collapsed="false">
      <c r="A7" s="27" t="s">
        <v>2209</v>
      </c>
      <c r="B7" s="27" t="s">
        <v>2202</v>
      </c>
      <c r="C7" s="28" t="n">
        <v>23.24</v>
      </c>
      <c r="D7" s="27" t="s">
        <v>2210</v>
      </c>
    </row>
    <row r="8" customFormat="false" ht="15" hidden="false" customHeight="true" outlineLevel="0" collapsed="false">
      <c r="A8" s="27" t="s">
        <v>700</v>
      </c>
      <c r="B8" s="27" t="s">
        <v>2202</v>
      </c>
      <c r="C8" s="28" t="n">
        <v>10.59</v>
      </c>
      <c r="D8" s="27" t="s">
        <v>699</v>
      </c>
    </row>
    <row r="9" customFormat="false" ht="15" hidden="false" customHeight="true" outlineLevel="0" collapsed="false">
      <c r="A9" s="27" t="s">
        <v>2211</v>
      </c>
      <c r="B9" s="27" t="s">
        <v>2212</v>
      </c>
      <c r="C9" s="28" t="n">
        <v>1.34</v>
      </c>
      <c r="D9" s="27" t="s">
        <v>576</v>
      </c>
    </row>
    <row r="10" customFormat="false" ht="15" hidden="false" customHeight="true" outlineLevel="0" collapsed="false">
      <c r="A10" s="27" t="s">
        <v>2213</v>
      </c>
      <c r="B10" s="27" t="s">
        <v>2212</v>
      </c>
      <c r="C10" s="28" t="n">
        <v>1.3</v>
      </c>
      <c r="D10" s="27" t="s">
        <v>580</v>
      </c>
    </row>
    <row r="11" customFormat="false" ht="15" hidden="false" customHeight="true" outlineLevel="0" collapsed="false">
      <c r="A11" s="27" t="s">
        <v>2214</v>
      </c>
      <c r="B11" s="27" t="s">
        <v>2202</v>
      </c>
      <c r="C11" s="28" t="n">
        <v>2.7</v>
      </c>
      <c r="D11" s="27" t="s">
        <v>627</v>
      </c>
    </row>
    <row r="12" customFormat="false" ht="15" hidden="false" customHeight="true" outlineLevel="0" collapsed="false">
      <c r="A12" s="27" t="s">
        <v>2215</v>
      </c>
      <c r="B12" s="27" t="s">
        <v>2216</v>
      </c>
      <c r="C12" s="28" t="n">
        <v>2.26</v>
      </c>
      <c r="D12" s="27" t="s">
        <v>2217</v>
      </c>
    </row>
    <row r="13" customFormat="false" ht="15" hidden="false" customHeight="true" outlineLevel="0" collapsed="false">
      <c r="A13" s="27" t="s">
        <v>2218</v>
      </c>
      <c r="B13" s="27" t="s">
        <v>2202</v>
      </c>
      <c r="C13" s="28" t="n">
        <v>0.94</v>
      </c>
      <c r="D13" s="27" t="s">
        <v>619</v>
      </c>
    </row>
    <row r="14" customFormat="false" ht="15" hidden="false" customHeight="true" outlineLevel="0" collapsed="false">
      <c r="A14" s="27" t="s">
        <v>2219</v>
      </c>
      <c r="B14" s="27" t="s">
        <v>2202</v>
      </c>
      <c r="C14" s="28" t="n">
        <v>8.45</v>
      </c>
      <c r="D14" s="27" t="s">
        <v>595</v>
      </c>
    </row>
    <row r="15" customFormat="false" ht="15" hidden="false" customHeight="true" outlineLevel="0" collapsed="false">
      <c r="A15" s="27" t="s">
        <v>2220</v>
      </c>
      <c r="B15" s="27" t="s">
        <v>2202</v>
      </c>
      <c r="C15" s="28" t="n">
        <v>23.62</v>
      </c>
      <c r="D15" s="27" t="s">
        <v>599</v>
      </c>
    </row>
    <row r="16" customFormat="false" ht="15" hidden="false" customHeight="true" outlineLevel="0" collapsed="false">
      <c r="A16" s="27" t="s">
        <v>2221</v>
      </c>
      <c r="B16" s="27" t="s">
        <v>2222</v>
      </c>
      <c r="C16" s="28" t="n">
        <v>1.4</v>
      </c>
      <c r="D16" s="27" t="s">
        <v>603</v>
      </c>
    </row>
    <row r="17" customFormat="false" ht="15" hidden="false" customHeight="true" outlineLevel="0" collapsed="false">
      <c r="A17" s="27" t="s">
        <v>2223</v>
      </c>
      <c r="B17" s="27" t="s">
        <v>2202</v>
      </c>
      <c r="C17" s="28" t="n">
        <v>9.1</v>
      </c>
      <c r="D17" s="27" t="s">
        <v>2224</v>
      </c>
    </row>
    <row r="18" customFormat="false" ht="15" hidden="false" customHeight="true" outlineLevel="0" collapsed="false">
      <c r="A18" s="27" t="s">
        <v>2225</v>
      </c>
      <c r="B18" s="27" t="s">
        <v>2202</v>
      </c>
      <c r="C18" s="28" t="n">
        <v>4.54</v>
      </c>
      <c r="D18" s="27" t="s">
        <v>771</v>
      </c>
    </row>
    <row r="19" customFormat="false" ht="15" hidden="false" customHeight="true" outlineLevel="0" collapsed="false">
      <c r="A19" s="27" t="s">
        <v>2226</v>
      </c>
      <c r="B19" s="27" t="s">
        <v>2222</v>
      </c>
      <c r="C19" s="28" t="n">
        <v>2.44</v>
      </c>
      <c r="D19" s="27" t="s">
        <v>2227</v>
      </c>
    </row>
    <row r="20" customFormat="false" ht="15" hidden="false" customHeight="true" outlineLevel="0" collapsed="false">
      <c r="A20" s="27" t="s">
        <v>2228</v>
      </c>
      <c r="B20" s="27" t="s">
        <v>2229</v>
      </c>
      <c r="C20" s="28" t="n">
        <v>1.83</v>
      </c>
      <c r="D20" s="27" t="s">
        <v>742</v>
      </c>
    </row>
    <row r="21" customFormat="false" ht="15" hidden="false" customHeight="true" outlineLevel="0" collapsed="false">
      <c r="A21" s="27" t="s">
        <v>2230</v>
      </c>
      <c r="B21" s="27" t="s">
        <v>2231</v>
      </c>
      <c r="C21" s="28" t="n">
        <v>2.15</v>
      </c>
      <c r="D21" s="27" t="s">
        <v>753</v>
      </c>
    </row>
    <row r="22" customFormat="false" ht="15" hidden="false" customHeight="true" outlineLevel="0" collapsed="false">
      <c r="A22" s="27" t="s">
        <v>2232</v>
      </c>
      <c r="B22" s="27" t="s">
        <v>2202</v>
      </c>
      <c r="C22" s="28" t="n">
        <v>3.13</v>
      </c>
      <c r="D22" s="27" t="s">
        <v>667</v>
      </c>
    </row>
    <row r="23" customFormat="false" ht="15" hidden="false" customHeight="true" outlineLevel="0" collapsed="false">
      <c r="A23" s="27" t="s">
        <v>2233</v>
      </c>
      <c r="B23" s="27" t="s">
        <v>2234</v>
      </c>
      <c r="C23" s="28" t="n">
        <v>1.38</v>
      </c>
      <c r="D23" s="27" t="s">
        <v>568</v>
      </c>
    </row>
    <row r="24" customFormat="false" ht="15" hidden="false" customHeight="true" outlineLevel="0" collapsed="false">
      <c r="A24" s="27" t="s">
        <v>2235</v>
      </c>
      <c r="B24" s="27" t="s">
        <v>2236</v>
      </c>
      <c r="C24" s="28" t="n">
        <v>1.58</v>
      </c>
      <c r="D24" s="27" t="s">
        <v>2237</v>
      </c>
    </row>
    <row r="25" customFormat="false" ht="15" hidden="false" customHeight="true" outlineLevel="0" collapsed="false">
      <c r="A25" s="27" t="s">
        <v>2238</v>
      </c>
      <c r="B25" s="27" t="s">
        <v>2239</v>
      </c>
      <c r="C25" s="28" t="n">
        <v>3.93</v>
      </c>
      <c r="D25" s="27" t="s">
        <v>458</v>
      </c>
    </row>
    <row r="26" customFormat="false" ht="15" hidden="false" customHeight="true" outlineLevel="0" collapsed="false">
      <c r="A26" s="27" t="s">
        <v>2240</v>
      </c>
      <c r="B26" s="27" t="s">
        <v>2202</v>
      </c>
      <c r="C26" s="28" t="n">
        <v>26.16</v>
      </c>
      <c r="D26" s="27" t="s">
        <v>711</v>
      </c>
    </row>
    <row r="27" customFormat="false" ht="15" hidden="false" customHeight="true" outlineLevel="0" collapsed="false">
      <c r="A27" s="27" t="s">
        <v>2241</v>
      </c>
      <c r="B27" s="27" t="s">
        <v>2202</v>
      </c>
      <c r="C27" s="28" t="n">
        <v>21.13</v>
      </c>
      <c r="D27" s="27" t="s">
        <v>707</v>
      </c>
    </row>
    <row r="28" customFormat="false" ht="15" hidden="false" customHeight="true" outlineLevel="0" collapsed="false">
      <c r="A28" s="27" t="s">
        <v>2242</v>
      </c>
      <c r="B28" s="27" t="s">
        <v>2243</v>
      </c>
      <c r="C28" s="28" t="n">
        <v>1.01</v>
      </c>
      <c r="D28" s="27" t="s">
        <v>2244</v>
      </c>
    </row>
    <row r="29" customFormat="false" ht="15" hidden="false" customHeight="true" outlineLevel="0" collapsed="false">
      <c r="A29" s="27" t="s">
        <v>2245</v>
      </c>
      <c r="B29" s="27" t="s">
        <v>2246</v>
      </c>
      <c r="C29" s="28" t="n">
        <v>1</v>
      </c>
      <c r="D29" s="27" t="s">
        <v>2247</v>
      </c>
    </row>
    <row r="30" customFormat="false" ht="15" hidden="false" customHeight="true" outlineLevel="0" collapsed="false">
      <c r="A30" s="27" t="s">
        <v>732</v>
      </c>
      <c r="B30" s="27" t="s">
        <v>2248</v>
      </c>
      <c r="C30" s="28" t="n">
        <v>2.26</v>
      </c>
      <c r="D30" s="27" t="s">
        <v>731</v>
      </c>
    </row>
    <row r="31" customFormat="false" ht="15" hidden="false" customHeight="true" outlineLevel="0" collapsed="false">
      <c r="A31" s="27" t="s">
        <v>660</v>
      </c>
      <c r="B31" s="27" t="s">
        <v>2249</v>
      </c>
      <c r="C31" s="28" t="n">
        <v>1.46</v>
      </c>
      <c r="D31" s="27" t="s">
        <v>659</v>
      </c>
    </row>
    <row r="32" customFormat="false" ht="15" hidden="false" customHeight="true" outlineLevel="0" collapsed="false">
      <c r="A32" s="27" t="s">
        <v>2250</v>
      </c>
      <c r="B32" s="27" t="s">
        <v>2202</v>
      </c>
      <c r="C32" s="28" t="n">
        <v>21.06</v>
      </c>
      <c r="D32" s="27" t="s">
        <v>534</v>
      </c>
    </row>
    <row r="33" customFormat="false" ht="15" hidden="false" customHeight="true" outlineLevel="0" collapsed="false">
      <c r="A33" s="27" t="s">
        <v>2251</v>
      </c>
      <c r="B33" s="27" t="s">
        <v>2252</v>
      </c>
      <c r="C33" s="28" t="n">
        <v>1.15</v>
      </c>
      <c r="D33" s="27" t="s">
        <v>2253</v>
      </c>
    </row>
    <row r="34" customFormat="false" ht="15" hidden="false" customHeight="true" outlineLevel="0" collapsed="false">
      <c r="A34" s="27" t="s">
        <v>2254</v>
      </c>
      <c r="B34" s="27" t="s">
        <v>2255</v>
      </c>
      <c r="C34" s="28" t="n">
        <v>1.84</v>
      </c>
      <c r="D34" s="27" t="s">
        <v>607</v>
      </c>
    </row>
    <row r="35" customFormat="false" ht="15" hidden="false" customHeight="true" outlineLevel="0" collapsed="false">
      <c r="A35" s="27" t="s">
        <v>2256</v>
      </c>
      <c r="B35" s="27" t="s">
        <v>2257</v>
      </c>
      <c r="C35" s="28" t="n">
        <v>1.79</v>
      </c>
      <c r="D35" s="27" t="s">
        <v>805</v>
      </c>
    </row>
    <row r="36" customFormat="false" ht="15" hidden="false" customHeight="true" outlineLevel="0" collapsed="false">
      <c r="A36" s="27" t="s">
        <v>2258</v>
      </c>
      <c r="B36" s="27" t="s">
        <v>2202</v>
      </c>
      <c r="C36" s="28" t="n">
        <v>3.96</v>
      </c>
      <c r="D36" s="27" t="s">
        <v>631</v>
      </c>
    </row>
    <row r="37" customFormat="false" ht="15" hidden="false" customHeight="true" outlineLevel="0" collapsed="false">
      <c r="A37" s="27" t="s">
        <v>2259</v>
      </c>
      <c r="B37" s="27" t="s">
        <v>2234</v>
      </c>
      <c r="C37" s="28" t="n">
        <v>1.39</v>
      </c>
      <c r="D37" s="27" t="s">
        <v>2260</v>
      </c>
    </row>
    <row r="38" customFormat="false" ht="15" hidden="false" customHeight="true" outlineLevel="0" collapsed="false">
      <c r="A38" s="27" t="s">
        <v>2261</v>
      </c>
      <c r="B38" s="27" t="s">
        <v>2262</v>
      </c>
      <c r="C38" s="28" t="n">
        <v>2.37</v>
      </c>
      <c r="D38" s="27" t="s">
        <v>557</v>
      </c>
    </row>
    <row r="39" customFormat="false" ht="15" hidden="false" customHeight="true" outlineLevel="0" collapsed="false">
      <c r="A39" s="27" t="s">
        <v>2263</v>
      </c>
      <c r="B39" s="27" t="s">
        <v>2264</v>
      </c>
      <c r="C39" s="28" t="n">
        <v>6.62</v>
      </c>
      <c r="D39" s="27" t="s">
        <v>722</v>
      </c>
    </row>
    <row r="40" customFormat="false" ht="15" hidden="false" customHeight="true" outlineLevel="0" collapsed="false">
      <c r="A40" s="27" t="s">
        <v>2265</v>
      </c>
      <c r="B40" s="27" t="s">
        <v>2202</v>
      </c>
      <c r="C40" s="28" t="n">
        <v>1.15</v>
      </c>
      <c r="D40" s="27" t="s">
        <v>623</v>
      </c>
    </row>
    <row r="41" customFormat="false" ht="15" hidden="false" customHeight="true" outlineLevel="0" collapsed="false">
      <c r="A41" s="27" t="s">
        <v>2266</v>
      </c>
      <c r="B41" s="27" t="s">
        <v>2231</v>
      </c>
      <c r="C41" s="28" t="n">
        <v>0.99</v>
      </c>
      <c r="D41" s="27" t="s">
        <v>2267</v>
      </c>
    </row>
    <row r="42" customFormat="false" ht="15" hidden="false" customHeight="true" outlineLevel="0" collapsed="false">
      <c r="A42" s="27" t="s">
        <v>2268</v>
      </c>
      <c r="B42" s="27" t="s">
        <v>2234</v>
      </c>
      <c r="C42" s="28" t="n">
        <v>2.04</v>
      </c>
      <c r="D42" s="27" t="s">
        <v>703</v>
      </c>
    </row>
    <row r="43" customFormat="false" ht="15" hidden="false" customHeight="true" outlineLevel="0" collapsed="false">
      <c r="A43" s="27" t="s">
        <v>2269</v>
      </c>
      <c r="B43" s="27" t="s">
        <v>2270</v>
      </c>
      <c r="C43" s="28" t="n">
        <v>2.11</v>
      </c>
      <c r="D43" s="27" t="s">
        <v>643</v>
      </c>
    </row>
    <row r="44" customFormat="false" ht="15" hidden="false" customHeight="true" outlineLevel="0" collapsed="false">
      <c r="A44" s="27" t="s">
        <v>2271</v>
      </c>
      <c r="B44" s="27" t="s">
        <v>2202</v>
      </c>
      <c r="C44" s="28" t="n">
        <v>8.58</v>
      </c>
      <c r="D44" s="27" t="s">
        <v>2272</v>
      </c>
    </row>
    <row r="45" customFormat="false" ht="15" hidden="false" customHeight="true" outlineLevel="0" collapsed="false">
      <c r="A45" s="27" t="s">
        <v>2273</v>
      </c>
      <c r="B45" s="27" t="s">
        <v>2202</v>
      </c>
      <c r="C45" s="28" t="n">
        <v>9.39</v>
      </c>
      <c r="D45" s="27" t="s">
        <v>782</v>
      </c>
    </row>
    <row r="46" customFormat="false" ht="15" hidden="false" customHeight="true" outlineLevel="0" collapsed="false">
      <c r="A46" s="27" t="s">
        <v>2274</v>
      </c>
      <c r="B46" s="27" t="s">
        <v>2222</v>
      </c>
      <c r="C46" s="28" t="n">
        <v>2.5</v>
      </c>
      <c r="D46" s="27" t="s">
        <v>790</v>
      </c>
    </row>
    <row r="47" customFormat="false" ht="15" hidden="false" customHeight="true" outlineLevel="0" collapsed="false">
      <c r="A47" s="27" t="s">
        <v>2275</v>
      </c>
      <c r="B47" s="27" t="s">
        <v>2202</v>
      </c>
      <c r="C47" s="28" t="n">
        <v>6.78</v>
      </c>
      <c r="D47" s="27" t="s">
        <v>797</v>
      </c>
    </row>
    <row r="48" customFormat="false" ht="15" hidden="false" customHeight="true" outlineLevel="0" collapsed="false">
      <c r="A48" s="27" t="s">
        <v>2276</v>
      </c>
      <c r="B48" s="27" t="s">
        <v>2202</v>
      </c>
      <c r="C48" s="28" t="n">
        <v>1.56</v>
      </c>
      <c r="D48" s="27" t="s">
        <v>663</v>
      </c>
    </row>
    <row r="49" customFormat="false" ht="15" hidden="false" customHeight="true" outlineLevel="0" collapsed="false">
      <c r="A49" s="27" t="s">
        <v>2277</v>
      </c>
      <c r="B49" s="27" t="s">
        <v>2202</v>
      </c>
      <c r="C49" s="28" t="n">
        <v>1.54</v>
      </c>
      <c r="D49" s="27" t="s">
        <v>611</v>
      </c>
    </row>
    <row r="50" customFormat="false" ht="15" hidden="false" customHeight="true" outlineLevel="0" collapsed="false">
      <c r="A50" s="27" t="s">
        <v>2278</v>
      </c>
      <c r="B50" s="27" t="s">
        <v>2202</v>
      </c>
      <c r="C50" s="28" t="n">
        <v>1</v>
      </c>
      <c r="D50" s="27" t="s">
        <v>615</v>
      </c>
    </row>
    <row r="51" customFormat="false" ht="15" hidden="false" customHeight="true" outlineLevel="0" collapsed="false">
      <c r="A51" s="27" t="s">
        <v>2279</v>
      </c>
      <c r="B51" s="27" t="s">
        <v>2262</v>
      </c>
      <c r="C51" s="28" t="n">
        <v>1.89</v>
      </c>
      <c r="D51" s="27" t="s">
        <v>561</v>
      </c>
    </row>
    <row r="52" customFormat="false" ht="15" hidden="false" customHeight="true" outlineLevel="0" collapsed="false">
      <c r="A52" s="27" t="s">
        <v>2280</v>
      </c>
      <c r="B52" s="27" t="s">
        <v>2202</v>
      </c>
      <c r="C52" s="28" t="n">
        <v>20.15</v>
      </c>
      <c r="D52" s="27" t="s">
        <v>524</v>
      </c>
    </row>
    <row r="53" customFormat="false" ht="15" hidden="false" customHeight="true" outlineLevel="0" collapsed="false">
      <c r="A53" s="27" t="s">
        <v>2281</v>
      </c>
      <c r="B53" s="27" t="s">
        <v>2202</v>
      </c>
      <c r="C53" s="28" t="n">
        <v>9.14</v>
      </c>
      <c r="D53" s="27" t="s">
        <v>695</v>
      </c>
    </row>
    <row r="54" customFormat="false" ht="15" hidden="false" customHeight="true" outlineLevel="0" collapsed="false">
      <c r="A54" s="27" t="s">
        <v>2282</v>
      </c>
      <c r="B54" s="27" t="s">
        <v>2202</v>
      </c>
      <c r="C54" s="28" t="n">
        <v>1.15</v>
      </c>
      <c r="D54" s="27" t="s">
        <v>735</v>
      </c>
    </row>
    <row r="55" customFormat="false" ht="15" hidden="false" customHeight="true" outlineLevel="0" collapsed="false">
      <c r="A55" s="27" t="s">
        <v>2283</v>
      </c>
      <c r="B55" s="27" t="s">
        <v>2202</v>
      </c>
      <c r="C55" s="28" t="n">
        <v>3.73</v>
      </c>
      <c r="D55" s="27" t="s">
        <v>639</v>
      </c>
    </row>
    <row r="56" customFormat="false" ht="15" hidden="false" customHeight="true" outlineLevel="0" collapsed="false">
      <c r="A56" s="27" t="s">
        <v>2284</v>
      </c>
      <c r="B56" s="27" t="s">
        <v>2248</v>
      </c>
      <c r="C56" s="28" t="n">
        <v>0.65</v>
      </c>
      <c r="D56" s="27" t="s">
        <v>651</v>
      </c>
    </row>
    <row r="57" customFormat="false" ht="15" hidden="false" customHeight="true" outlineLevel="0" collapsed="false">
      <c r="A57" s="27" t="s">
        <v>2285</v>
      </c>
      <c r="B57" s="27" t="s">
        <v>2286</v>
      </c>
      <c r="C57" s="28" t="n">
        <v>1.5</v>
      </c>
      <c r="D57" s="27" t="s">
        <v>572</v>
      </c>
    </row>
    <row r="58" customFormat="false" ht="15" hidden="false" customHeight="true" outlineLevel="0" collapsed="false"/>
    <row r="59" customFormat="false" ht="15" hidden="false" customHeight="true" outlineLevel="0" collapsed="false">
      <c r="A59" s="29" t="s">
        <v>2287</v>
      </c>
    </row>
    <row r="60" customFormat="false" ht="15" hidden="false" customHeight="true" outlineLevel="0" collapsed="false">
      <c r="A60" s="29" t="s">
        <v>2288</v>
      </c>
    </row>
    <row r="61" customFormat="false" ht="15" hidden="false" customHeight="true" outlineLevel="0" collapsed="false">
      <c r="A61" s="29" t="s">
        <v>2289</v>
      </c>
    </row>
    <row r="62" customFormat="false" ht="15" hidden="false" customHeight="true" outlineLevel="0" collapsed="false">
      <c r="A62" s="29" t="s">
        <v>2290</v>
      </c>
    </row>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2026-10-02T13:07:34Z</dcterms:created>
  <dc:creator>openpyxl</dc:creator>
  <dc:description/>
  <dc:language>en-US</dc:language>
  <cp:lastModifiedBy/>
  <dcterms:modified xsi:type="dcterms:W3CDTF">2026-10-02T14:51:13Z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