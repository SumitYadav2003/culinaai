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Summary" sheetId="2" state="visible" r:id="rId4"/>
    <sheet name="CoFID" sheetId="3" state="visible" r:id="rId5"/>
    <sheet name="Recipes" sheetId="4" state="visible" r:id="rId6"/>
    <sheet name="Che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Filled in by the build script: compares the CoFID codes the engine chose from the ingredient names with the codes in the Recipes sheet.</t>
        </r>
      </text>
    </comment>
    <comment ref="F3" authorId="0">
      <text>
        <r>
          <rPr>
            <sz val="10"/>
            <rFont val="Arial"/>
            <family val="2"/>
          </rPr>
          <t xml:space="preserve">Filled in by the build script: compares the CoFID codes the engine chose from the ingredient names with the codes in the Recipes sheet.</t>
        </r>
      </text>
    </comment>
    <comment ref="F4" authorId="0">
      <text>
        <r>
          <rPr>
            <sz val="10"/>
            <rFont val="Arial"/>
            <family val="2"/>
          </rPr>
          <t xml:space="preserve">Filled in by the build script: compares the CoFID codes the engine chose from the ingredient names with the codes in the Recipes sheet.</t>
        </r>
      </text>
    </comment>
    <comment ref="F5" authorId="0">
      <text>
        <r>
          <rPr>
            <sz val="10"/>
            <rFont val="Arial"/>
            <family val="2"/>
          </rPr>
          <t xml:space="preserve">Filled in by the build script: compares the CoFID codes the engine chose from the ingredient names with the codes in the Recipes sheet.</t>
        </r>
      </text>
    </comment>
    <comment ref="F6" authorId="0">
      <text>
        <r>
          <rPr>
            <sz val="10"/>
            <rFont val="Arial"/>
            <family val="2"/>
          </rPr>
          <t xml:space="preserve">Filled in by the build script: compares the CoFID codes the engine chose from the ingredient names with the codes in the Recipes sheet.</t>
        </r>
      </text>
    </comment>
    <comment ref="F7" authorId="0">
      <text>
        <r>
          <rPr>
            <sz val="10"/>
            <rFont val="Arial"/>
            <family val="2"/>
          </rPr>
          <t xml:space="preserve">Filled in by the build script: compares the CoFID codes the engine chose from the ingredient names with the codes in the Recipes sheet.</t>
        </r>
      </text>
    </comment>
    <comment ref="F8" authorId="0">
      <text>
        <r>
          <rPr>
            <sz val="10"/>
            <rFont val="Arial"/>
            <family val="2"/>
          </rPr>
          <t xml:space="preserve">Filled in by the build script: compares the CoFID codes the engine chose from the ingredient names with the codes in the Recipes sheet.</t>
        </r>
      </text>
    </comment>
    <comment ref="F9" authorId="0">
      <text>
        <r>
          <rPr>
            <sz val="10"/>
            <rFont val="Arial"/>
            <family val="2"/>
          </rPr>
          <t xml:space="preserve">Filled in by the build script: compares the CoFID codes the engine chose from the ingredient names with the codes in the Recipes sheet.</t>
        </r>
      </text>
    </comment>
    <comment ref="F10" authorId="0">
      <text>
        <r>
          <rPr>
            <sz val="10"/>
            <rFont val="Arial"/>
            <family val="2"/>
          </rPr>
          <t xml:space="preserve">Filled in by the build script: compares the CoFID codes the engine chose from the ingredient names with the codes in the Recipes sheet.</t>
        </r>
      </text>
    </comment>
    <comment ref="F11" authorId="0">
      <text>
        <r>
          <rPr>
            <sz val="10"/>
            <rFont val="Arial"/>
            <family val="2"/>
          </rPr>
          <t xml:space="preserve">Filled in by the build script: compares the CoFID codes the engine chose from the ingredient names with the codes in the Recipes sheet.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0" authorId="0">
      <text>
        <r>
          <rPr>
            <sz val="10"/>
            <rFont val="Arial"/>
            <family val="2"/>
          </rPr>
          <t xml:space="preserve">Not measured in CoFID. Counts as 0 in both calculations.</t>
        </r>
      </text>
    </comment>
    <comment ref="C32" authorId="0">
      <text>
        <r>
          <rPr>
            <sz val="10"/>
            <rFont val="Arial"/>
            <family val="2"/>
          </rPr>
          <t xml:space="preserve">Not measured in CoFID. Counts as 0 in both calculations.</t>
        </r>
      </text>
    </comment>
    <comment ref="F29" authorId="0">
      <text>
        <r>
          <rPr>
            <sz val="10"/>
            <rFont val="Arial"/>
            <family val="2"/>
          </rPr>
          <t xml:space="preserve">Not measured in CoFID. Counts as 0 in both calculations.</t>
        </r>
      </text>
    </comment>
    <comment ref="F31" authorId="0">
      <text>
        <r>
          <rPr>
            <sz val="10"/>
            <rFont val="Arial"/>
            <family val="2"/>
          </rPr>
          <t xml:space="preserve">Not measured in CoFID. Counts as 0 in both calculations.</t>
        </r>
      </text>
    </comment>
    <comment ref="G30" authorId="0">
      <text>
        <r>
          <rPr>
            <sz val="10"/>
            <rFont val="Arial"/>
            <family val="2"/>
          </rPr>
          <t xml:space="preserve">Not measured in CoFID. Counts as 0 in both calculations.</t>
        </r>
      </text>
    </comment>
    <comment ref="G32" authorId="0">
      <text>
        <r>
          <rPr>
            <sz val="10"/>
            <rFont val="Arial"/>
            <family val="2"/>
          </rPr>
          <t xml:space="preserve">Not measured in CoFID. Counts as 0 in both calculations.</t>
        </r>
      </text>
    </comment>
    <comment ref="H29" authorId="0">
      <text>
        <r>
          <rPr>
            <sz val="10"/>
            <rFont val="Arial"/>
            <family val="2"/>
          </rPr>
          <t xml:space="preserve">Not measured in CoFID. Counts as 0 in both calculations.</t>
        </r>
      </text>
    </comment>
    <comment ref="H30" authorId="0">
      <text>
        <r>
          <rPr>
            <sz val="10"/>
            <rFont val="Arial"/>
            <family val="2"/>
          </rPr>
          <t xml:space="preserve">Not measured in CoFID. Counts as 0 in both calculations.</t>
        </r>
      </text>
    </comment>
    <comment ref="H31" authorId="0">
      <text>
        <r>
          <rPr>
            <sz val="10"/>
            <rFont val="Arial"/>
            <family val="2"/>
          </rPr>
          <t xml:space="preserve">Not measured in CoFID. Counts as 0 in both calculations.</t>
        </r>
      </text>
    </comment>
    <comment ref="I29" authorId="0">
      <text>
        <r>
          <rPr>
            <sz val="10"/>
            <rFont val="Arial"/>
            <family val="2"/>
          </rPr>
          <t xml:space="preserve">Not measured in CoFID. Counts as 0 in both calculations.</t>
        </r>
      </text>
    </comment>
    <comment ref="I30" authorId="0">
      <text>
        <r>
          <rPr>
            <sz val="10"/>
            <rFont val="Arial"/>
            <family val="2"/>
          </rPr>
          <t xml:space="preserve">Not measured in CoFID. Counts as 0 in both calculations.</t>
        </r>
      </text>
    </comment>
  </commentList>
</comments>
</file>

<file path=xl/sharedStrings.xml><?xml version="1.0" encoding="utf-8"?>
<sst xmlns="http://schemas.openxmlformats.org/spreadsheetml/2006/main" count="566" uniqueCount="215">
  <si>
    <t xml:space="preserve">CulinaAI nutrition engine: phase 1 hand check</t>
  </si>
  <si>
    <t xml:space="preserve">What this file does</t>
  </si>
  <si>
    <t xml:space="preserve">Ten realistic recipes are calculated here with spreadsheet formulas, straight from CoFID values,</t>
  </si>
  <si>
    <t xml:space="preserve">and compared with what the CulinaAI nutrition engine calculated from the ingredient names alone.</t>
  </si>
  <si>
    <t xml:space="preserve">Sheets</t>
  </si>
  <si>
    <t xml:space="preserve">CoFID: per-100 g values for every food used (blue = values copied from the source dataset).</t>
  </si>
  <si>
    <t xml:space="preserve">Recipes: each ingredient row works out its nutrients as grams / 100 x the CoFID value (black = formulas).</t>
  </si>
  <si>
    <t xml:space="preserve">Check: per-serving totals from the formulas vs the engine (engine values in blue), and whether they agree.</t>
  </si>
  <si>
    <t xml:space="preserve">Rules</t>
  </si>
  <si>
    <t xml:space="preserve">A recipe passes when every nutrient differs by less than 0.5% (or 0.05 g / 0.5 kcal for very small values)</t>
  </si>
  <si>
    <t xml:space="preserve">and the engine matched every ingredient name to the same CoFID food as this sheet.</t>
  </si>
  <si>
    <t xml:space="preserve">Missing CoFID values (e.g. energy for some spices) count as 0, the same as the engine.</t>
  </si>
  <si>
    <t xml:space="preserve">Source</t>
  </si>
  <si>
    <t xml:space="preserve">McCance and Widdowson's Composition of Foods Integrated Dataset 2021 (CoFID), Public Health England,</t>
  </si>
  <si>
    <t xml:space="preserve">Open Government Licence v3.0. https://www.gov.uk/government/publications/composition-of-foods-integrated-dataset-cofid</t>
  </si>
  <si>
    <t xml:space="preserve">Salt = sodium (mg) x 2.5 / 1000. Fibre = AOAC fibre, or NSP fibre where AOAC is missing.</t>
  </si>
  <si>
    <t xml:space="preserve">Recipe</t>
  </si>
  <si>
    <t xml:space="preserve">Servings</t>
  </si>
  <si>
    <t xml:space="preserve">kcal per serving (spreadsheet)</t>
  </si>
  <si>
    <t xml:space="preserve">kcal per serving (engine)</t>
  </si>
  <si>
    <t xml:space="preserve">All nutrients agree?</t>
  </si>
  <si>
    <t xml:space="preserve">Same CoFID foods matched?</t>
  </si>
  <si>
    <t xml:space="preserve">Coverage (engine)</t>
  </si>
  <si>
    <t xml:space="preserve">Traffic lights (fat / saturates / sugars / salt)</t>
  </si>
  <si>
    <t xml:space="preserve">Claims</t>
  </si>
  <si>
    <t xml:space="preserve">Garlic chicken and spinach rice bowl</t>
  </si>
  <si>
    <t xml:space="preserve">Yes</t>
  </si>
  <si>
    <t xml:space="preserve">amber / green / green / amber</t>
  </si>
  <si>
    <t xml:space="preserve">High protein, Low saturated fat, Low sugars</t>
  </si>
  <si>
    <t xml:space="preserve">Spaghetti bolognese</t>
  </si>
  <si>
    <t xml:space="preserve">red / red / green / green</t>
  </si>
  <si>
    <t xml:space="preserve">High protein, Low sugars, Low salt</t>
  </si>
  <si>
    <t xml:space="preserve">Chickpea and coconut curry with rice</t>
  </si>
  <si>
    <t xml:space="preserve">Source of fibre, Low sugars, Low salt</t>
  </si>
  <si>
    <t xml:space="preserve">Salmon, new potatoes and broccoli</t>
  </si>
  <si>
    <t xml:space="preserve">High protein, Source of fibre, Low sugars, Low salt</t>
  </si>
  <si>
    <t xml:space="preserve">Red lentil dal</t>
  </si>
  <si>
    <t xml:space="preserve">green / green / green / green</t>
  </si>
  <si>
    <t xml:space="preserve">High protein, High fibre, Low fat, Low sugars, Low salt</t>
  </si>
  <si>
    <t xml:space="preserve">Cheese and vegetable omelette</t>
  </si>
  <si>
    <t xml:space="preserve">red / red / green / amber</t>
  </si>
  <si>
    <t xml:space="preserve">High protein, Low sugars</t>
  </si>
  <si>
    <t xml:space="preserve">Porridge with banana and honey</t>
  </si>
  <si>
    <t xml:space="preserve">green / green / red / green</t>
  </si>
  <si>
    <t xml:space="preserve">Source of protein, Low fat, Low saturated fat, Low salt</t>
  </si>
  <si>
    <t xml:space="preserve">Paneer tikka wraps</t>
  </si>
  <si>
    <t xml:space="preserve">Tuna pasta bake</t>
  </si>
  <si>
    <t xml:space="preserve">Banana and chocolate pancakes (treat)</t>
  </si>
  <si>
    <t xml:space="preserve">red / red / red / green</t>
  </si>
  <si>
    <t xml:space="preserve">Low salt</t>
  </si>
  <si>
    <t xml:space="preserve">Recipes passing</t>
  </si>
  <si>
    <t xml:space="preserve">Food code</t>
  </si>
  <si>
    <t xml:space="preserve">CoFID name</t>
  </si>
  <si>
    <t xml:space="preserve">Energy (kcal)</t>
  </si>
  <si>
    <t xml:space="preserve">Protein (g)</t>
  </si>
  <si>
    <t xml:space="preserve">Fat (g)</t>
  </si>
  <si>
    <t xml:space="preserve">Saturates (g)</t>
  </si>
  <si>
    <t xml:space="preserve">Carbohydrate (g)</t>
  </si>
  <si>
    <t xml:space="preserve">Sugars (g)</t>
  </si>
  <si>
    <t xml:space="preserve">Fibre (g)</t>
  </si>
  <si>
    <t xml:space="preserve">Salt (g)</t>
  </si>
  <si>
    <t xml:space="preserve">11-716</t>
  </si>
  <si>
    <t xml:space="preserve">Pasta, white, dried, raw</t>
  </si>
  <si>
    <t xml:space="preserve">11-788</t>
  </si>
  <si>
    <t xml:space="preserve">Porridge oats, unfortified</t>
  </si>
  <si>
    <t xml:space="preserve">11-857</t>
  </si>
  <si>
    <t xml:space="preserve">Rice, white, basmati, raw</t>
  </si>
  <si>
    <t xml:space="preserve">11-861</t>
  </si>
  <si>
    <t xml:space="preserve">Rice, white, long grain, raw</t>
  </si>
  <si>
    <t xml:space="preserve">11-886</t>
  </si>
  <si>
    <t xml:space="preserve">Flour, wheat, white, plain, soft</t>
  </si>
  <si>
    <t xml:space="preserve">11-925</t>
  </si>
  <si>
    <t xml:space="preserve">Tortilla, wheat, soft</t>
  </si>
  <si>
    <t xml:space="preserve">12-184</t>
  </si>
  <si>
    <t xml:space="preserve">Yogurt, whole milk, plain</t>
  </si>
  <si>
    <t xml:space="preserve">12-313</t>
  </si>
  <si>
    <t xml:space="preserve">Milk, semi-skimmed, pasteurised, average</t>
  </si>
  <si>
    <t xml:space="preserve">12-346</t>
  </si>
  <si>
    <t xml:space="preserve">Cheese, Cheddar, English</t>
  </si>
  <si>
    <t xml:space="preserve">12-495</t>
  </si>
  <si>
    <t xml:space="preserve">Cheese, Paneer</t>
  </si>
  <si>
    <t xml:space="preserve">12-526</t>
  </si>
  <si>
    <t xml:space="preserve">Cheese, Parmesan, fresh</t>
  </si>
  <si>
    <t xml:space="preserve">12-937</t>
  </si>
  <si>
    <t xml:space="preserve">Eggs, chicken, whole, raw</t>
  </si>
  <si>
    <t xml:space="preserve">13-244</t>
  </si>
  <si>
    <t xml:space="preserve">Garlic, raw</t>
  </si>
  <si>
    <t xml:space="preserve">13-318</t>
  </si>
  <si>
    <t xml:space="preserve">Peppers, capsicum, green, raw</t>
  </si>
  <si>
    <t xml:space="preserve">13-496</t>
  </si>
  <si>
    <t xml:space="preserve">Carrots, old, raw</t>
  </si>
  <si>
    <t xml:space="preserve">13-499</t>
  </si>
  <si>
    <t xml:space="preserve">Onions, raw</t>
  </si>
  <si>
    <t xml:space="preserve">13-502</t>
  </si>
  <si>
    <t xml:space="preserve">Broccoli, green, raw</t>
  </si>
  <si>
    <t xml:space="preserve">13-505</t>
  </si>
  <si>
    <t xml:space="preserve">Mushrooms, white, raw</t>
  </si>
  <si>
    <t xml:space="preserve">13-520</t>
  </si>
  <si>
    <t xml:space="preserve">Lettuce, average, raw</t>
  </si>
  <si>
    <t xml:space="preserve">13-524</t>
  </si>
  <si>
    <t xml:space="preserve">Pepper, capsicum, red, raw</t>
  </si>
  <si>
    <t xml:space="preserve">13-530</t>
  </si>
  <si>
    <t xml:space="preserve">Tomatoes, canned, whole contents</t>
  </si>
  <si>
    <t xml:space="preserve">13-531</t>
  </si>
  <si>
    <t xml:space="preserve">Tomato puree</t>
  </si>
  <si>
    <t xml:space="preserve">13-572</t>
  </si>
  <si>
    <t xml:space="preserve">Spinach, mature, raw</t>
  </si>
  <si>
    <t xml:space="preserve">13-618</t>
  </si>
  <si>
    <t xml:space="preserve">Potatoes, new and salad, flesh only, raw</t>
  </si>
  <si>
    <t xml:space="preserve">13-622</t>
  </si>
  <si>
    <t xml:space="preserve">Sweetcorn, kernels, raw</t>
  </si>
  <si>
    <t xml:space="preserve">13-657</t>
  </si>
  <si>
    <t xml:space="preserve">Lentils, red, split, dried, raw</t>
  </si>
  <si>
    <t xml:space="preserve">13-670</t>
  </si>
  <si>
    <t xml:space="preserve">Beans, chick peas, canned, re-heated, drained</t>
  </si>
  <si>
    <t xml:space="preserve">13-829</t>
  </si>
  <si>
    <t xml:space="preserve">Garam masala</t>
  </si>
  <si>
    <t xml:space="preserve">13-861</t>
  </si>
  <si>
    <t xml:space="preserve">Turmeric, ground</t>
  </si>
  <si>
    <t xml:space="preserve">13-876</t>
  </si>
  <si>
    <t xml:space="preserve">Curry powder</t>
  </si>
  <si>
    <t xml:space="preserve">13-889</t>
  </si>
  <si>
    <t xml:space="preserve">Cumin seeds</t>
  </si>
  <si>
    <t xml:space="preserve">13-890</t>
  </si>
  <si>
    <t xml:space="preserve">Ginger, fresh</t>
  </si>
  <si>
    <t xml:space="preserve">14-277</t>
  </si>
  <si>
    <t xml:space="preserve">Lemon juice, fresh</t>
  </si>
  <si>
    <t xml:space="preserve">14-318</t>
  </si>
  <si>
    <t xml:space="preserve">Bananas, flesh only</t>
  </si>
  <si>
    <t xml:space="preserve">14-889</t>
  </si>
  <si>
    <t xml:space="preserve">Coconut milk, retail</t>
  </si>
  <si>
    <t xml:space="preserve">16-356</t>
  </si>
  <si>
    <t xml:space="preserve">Salmon, farmed, flesh only, raw</t>
  </si>
  <si>
    <t xml:space="preserve">16-416</t>
  </si>
  <si>
    <t xml:space="preserve">Tuna, canned in brine, drained</t>
  </si>
  <si>
    <t xml:space="preserve">17-038</t>
  </si>
  <si>
    <t xml:space="preserve">Oil, olive</t>
  </si>
  <si>
    <t xml:space="preserve">17-050</t>
  </si>
  <si>
    <t xml:space="preserve">Honey</t>
  </si>
  <si>
    <t xml:space="preserve">17-063</t>
  </si>
  <si>
    <t xml:space="preserve">Sugar, white</t>
  </si>
  <si>
    <t xml:space="preserve">17-367</t>
  </si>
  <si>
    <t xml:space="preserve">Salt</t>
  </si>
  <si>
    <t xml:space="preserve">17-377</t>
  </si>
  <si>
    <t xml:space="preserve">Water, distilled</t>
  </si>
  <si>
    <t xml:space="preserve">17-491</t>
  </si>
  <si>
    <t xml:space="preserve">Chocolate, plain</t>
  </si>
  <si>
    <t xml:space="preserve">17-640</t>
  </si>
  <si>
    <t xml:space="preserve">Ghee, butter</t>
  </si>
  <si>
    <t xml:space="preserve">17-685</t>
  </si>
  <si>
    <t xml:space="preserve">Butter, salted</t>
  </si>
  <si>
    <t xml:space="preserve">17-686</t>
  </si>
  <si>
    <t xml:space="preserve">Oil, vegetable, average</t>
  </si>
  <si>
    <t xml:space="preserve">18-290</t>
  </si>
  <si>
    <t xml:space="preserve">Chicken, light meat, raw</t>
  </si>
  <si>
    <t xml:space="preserve">18-469</t>
  </si>
  <si>
    <t xml:space="preserve">Beef, mince, raw</t>
  </si>
  <si>
    <t xml:space="preserve">Ingredient (as written)</t>
  </si>
  <si>
    <t xml:space="preserve">Grams</t>
  </si>
  <si>
    <t xml:space="preserve">chicken breast</t>
  </si>
  <si>
    <t xml:space="preserve">basmati rice</t>
  </si>
  <si>
    <t xml:space="preserve">spinach</t>
  </si>
  <si>
    <t xml:space="preserve">garlic</t>
  </si>
  <si>
    <t xml:space="preserve">olive oil</t>
  </si>
  <si>
    <t xml:space="preserve">garam masala</t>
  </si>
  <si>
    <t xml:space="preserve">salt</t>
  </si>
  <si>
    <t xml:space="preserve">beef mince</t>
  </si>
  <si>
    <t xml:space="preserve">spaghetti</t>
  </si>
  <si>
    <t xml:space="preserve">chopped tomatoes</t>
  </si>
  <si>
    <t xml:space="preserve">onion</t>
  </si>
  <si>
    <t xml:space="preserve">carrot</t>
  </si>
  <si>
    <t xml:space="preserve">parmesan</t>
  </si>
  <si>
    <t xml:space="preserve">tomato puree</t>
  </si>
  <si>
    <t xml:space="preserve">chickpeas</t>
  </si>
  <si>
    <t xml:space="preserve">coconut milk</t>
  </si>
  <si>
    <t xml:space="preserve">ginger</t>
  </si>
  <si>
    <t xml:space="preserve">curry powder</t>
  </si>
  <si>
    <t xml:space="preserve">vegetable oil</t>
  </si>
  <si>
    <t xml:space="preserve">rice</t>
  </si>
  <si>
    <t xml:space="preserve">salmon fillet</t>
  </si>
  <si>
    <t xml:space="preserve">new potatoes</t>
  </si>
  <si>
    <t xml:space="preserve">broccoli</t>
  </si>
  <si>
    <t xml:space="preserve">butter</t>
  </si>
  <si>
    <t xml:space="preserve">lemon juice</t>
  </si>
  <si>
    <t xml:space="preserve">red lentils</t>
  </si>
  <si>
    <t xml:space="preserve">turmeric</t>
  </si>
  <si>
    <t xml:space="preserve">cumin</t>
  </si>
  <si>
    <t xml:space="preserve">ghee</t>
  </si>
  <si>
    <t xml:space="preserve">water</t>
  </si>
  <si>
    <t xml:space="preserve">eggs</t>
  </si>
  <si>
    <t xml:space="preserve">milk</t>
  </si>
  <si>
    <t xml:space="preserve">cheddar</t>
  </si>
  <si>
    <t xml:space="preserve">mushrooms</t>
  </si>
  <si>
    <t xml:space="preserve">red pepper</t>
  </si>
  <si>
    <t xml:space="preserve">porridge oats</t>
  </si>
  <si>
    <t xml:space="preserve">banana</t>
  </si>
  <si>
    <t xml:space="preserve">honey</t>
  </si>
  <si>
    <t xml:space="preserve">paneer</t>
  </si>
  <si>
    <t xml:space="preserve">tortilla</t>
  </si>
  <si>
    <t xml:space="preserve">natural yogurt</t>
  </si>
  <si>
    <t xml:space="preserve">red onion</t>
  </si>
  <si>
    <t xml:space="preserve">green pepper</t>
  </si>
  <si>
    <t xml:space="preserve">lettuce</t>
  </si>
  <si>
    <t xml:space="preserve">pasta</t>
  </si>
  <si>
    <t xml:space="preserve">tuna</t>
  </si>
  <si>
    <t xml:space="preserve">sweetcorn</t>
  </si>
  <si>
    <t xml:space="preserve">cheddar cheese</t>
  </si>
  <si>
    <t xml:space="preserve">plain flour</t>
  </si>
  <si>
    <t xml:space="preserve">sugar</t>
  </si>
  <si>
    <t xml:space="preserve">dark chocolate</t>
  </si>
  <si>
    <t xml:space="preserve">Nutrient</t>
  </si>
  <si>
    <t xml:space="preserve">Spreadsheet per serving</t>
  </si>
  <si>
    <t xml:space="preserve">Engine per serving</t>
  </si>
  <si>
    <t xml:space="preserve">Difference</t>
  </si>
  <si>
    <t xml:space="preserve">Agrees?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</si>
</sst>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%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3E6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6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1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1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40"/>
  </cols>
  <sheetData>
    <row r="1" customFormat="false" ht="39.55" hidden="false" customHeight="false" outlineLevel="0" collapsed="false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</row>
    <row r="2" customFormat="false" ht="15" hidden="false" customHeight="false" outlineLevel="0" collapsed="false">
      <c r="A2" s="2" t="s">
        <v>25</v>
      </c>
      <c r="B2" s="2" t="n">
        <f aca="false">Check!B2</f>
        <v>2</v>
      </c>
      <c r="C2" s="4" t="n">
        <f aca="false">Check!D2</f>
        <v>606.75</v>
      </c>
      <c r="D2" s="4" t="n">
        <f aca="false">Check!E2</f>
        <v>606.75</v>
      </c>
      <c r="E2" s="2" t="str">
        <f aca="false">IF(COUNTIF(Check!G2:G9,"NO")=0,"Yes","NO")</f>
        <v>Yes</v>
      </c>
      <c r="F2" s="5" t="s">
        <v>26</v>
      </c>
      <c r="G2" s="6" t="n">
        <v>1</v>
      </c>
      <c r="H2" s="5" t="s">
        <v>27</v>
      </c>
      <c r="I2" s="5" t="s">
        <v>28</v>
      </c>
    </row>
    <row r="3" customFormat="false" ht="15" hidden="false" customHeight="false" outlineLevel="0" collapsed="false">
      <c r="A3" s="2" t="s">
        <v>29</v>
      </c>
      <c r="B3" s="2" t="n">
        <f aca="false">Check!B11</f>
        <v>4</v>
      </c>
      <c r="C3" s="4" t="n">
        <f aca="false">Check!D11</f>
        <v>737.1875</v>
      </c>
      <c r="D3" s="4" t="n">
        <f aca="false">Check!E11</f>
        <v>737.19</v>
      </c>
      <c r="E3" s="2" t="str">
        <f aca="false">IF(COUNTIF(Check!G11:G18,"NO")=0,"Yes","NO")</f>
        <v>Yes</v>
      </c>
      <c r="F3" s="5" t="s">
        <v>26</v>
      </c>
      <c r="G3" s="6" t="n">
        <v>1</v>
      </c>
      <c r="H3" s="5" t="s">
        <v>30</v>
      </c>
      <c r="I3" s="5" t="s">
        <v>31</v>
      </c>
    </row>
    <row r="4" customFormat="false" ht="15" hidden="false" customHeight="false" outlineLevel="0" collapsed="false">
      <c r="A4" s="2" t="s">
        <v>32</v>
      </c>
      <c r="B4" s="2" t="n">
        <f aca="false">Check!B20</f>
        <v>4</v>
      </c>
      <c r="C4" s="4" t="n">
        <f aca="false">Check!D20</f>
        <v>665.8125</v>
      </c>
      <c r="D4" s="4" t="n">
        <f aca="false">Check!E20</f>
        <v>665.81</v>
      </c>
      <c r="E4" s="2" t="str">
        <f aca="false">IF(COUNTIF(Check!G20:G27,"NO")=0,"Yes","NO")</f>
        <v>Yes</v>
      </c>
      <c r="F4" s="5" t="s">
        <v>26</v>
      </c>
      <c r="G4" s="6" t="n">
        <v>1</v>
      </c>
      <c r="H4" s="5" t="s">
        <v>30</v>
      </c>
      <c r="I4" s="5" t="s">
        <v>33</v>
      </c>
    </row>
    <row r="5" customFormat="false" ht="15" hidden="false" customHeight="false" outlineLevel="0" collapsed="false">
      <c r="A5" s="2" t="s">
        <v>34</v>
      </c>
      <c r="B5" s="2" t="n">
        <f aca="false">Check!B29</f>
        <v>2</v>
      </c>
      <c r="C5" s="4" t="n">
        <f aca="false">Check!D29</f>
        <v>508.6</v>
      </c>
      <c r="D5" s="4" t="n">
        <f aca="false">Check!E29</f>
        <v>508.6</v>
      </c>
      <c r="E5" s="2" t="str">
        <f aca="false">IF(COUNTIF(Check!G29:G36,"NO")=0,"Yes","NO")</f>
        <v>Yes</v>
      </c>
      <c r="F5" s="5" t="s">
        <v>26</v>
      </c>
      <c r="G5" s="6" t="n">
        <v>1</v>
      </c>
      <c r="H5" s="5" t="s">
        <v>30</v>
      </c>
      <c r="I5" s="5" t="s">
        <v>35</v>
      </c>
    </row>
    <row r="6" customFormat="false" ht="15" hidden="false" customHeight="false" outlineLevel="0" collapsed="false">
      <c r="A6" s="2" t="s">
        <v>36</v>
      </c>
      <c r="B6" s="2" t="n">
        <f aca="false">Check!B38</f>
        <v>4</v>
      </c>
      <c r="C6" s="4" t="n">
        <f aca="false">Check!D38</f>
        <v>264.45</v>
      </c>
      <c r="D6" s="4" t="n">
        <f aca="false">Check!E38</f>
        <v>264.45</v>
      </c>
      <c r="E6" s="2" t="str">
        <f aca="false">IF(COUNTIF(Check!G38:G45,"NO")=0,"Yes","NO")</f>
        <v>Yes</v>
      </c>
      <c r="F6" s="5" t="s">
        <v>26</v>
      </c>
      <c r="G6" s="6" t="n">
        <v>1</v>
      </c>
      <c r="H6" s="5" t="s">
        <v>37</v>
      </c>
      <c r="I6" s="5" t="s">
        <v>38</v>
      </c>
    </row>
    <row r="7" customFormat="false" ht="15" hidden="false" customHeight="false" outlineLevel="0" collapsed="false">
      <c r="A7" s="2" t="s">
        <v>39</v>
      </c>
      <c r="B7" s="2" t="n">
        <f aca="false">Check!B47</f>
        <v>1</v>
      </c>
      <c r="C7" s="4" t="n">
        <f aca="false">Check!D47</f>
        <v>423.5</v>
      </c>
      <c r="D7" s="4" t="n">
        <f aca="false">Check!E47</f>
        <v>423.5</v>
      </c>
      <c r="E7" s="2" t="str">
        <f aca="false">IF(COUNTIF(Check!G47:G54,"NO")=0,"Yes","NO")</f>
        <v>Yes</v>
      </c>
      <c r="F7" s="5" t="s">
        <v>26</v>
      </c>
      <c r="G7" s="6" t="n">
        <v>1</v>
      </c>
      <c r="H7" s="5" t="s">
        <v>40</v>
      </c>
      <c r="I7" s="5" t="s">
        <v>41</v>
      </c>
    </row>
    <row r="8" customFormat="false" ht="15" hidden="false" customHeight="false" outlineLevel="0" collapsed="false">
      <c r="A8" s="2" t="s">
        <v>42</v>
      </c>
      <c r="B8" s="2" t="n">
        <f aca="false">Check!B56</f>
        <v>2</v>
      </c>
      <c r="C8" s="4" t="n">
        <f aca="false">Check!D56</f>
        <v>382.9</v>
      </c>
      <c r="D8" s="4" t="n">
        <f aca="false">Check!E56</f>
        <v>382.9</v>
      </c>
      <c r="E8" s="2" t="str">
        <f aca="false">IF(COUNTIF(Check!G56:G63,"NO")=0,"Yes","NO")</f>
        <v>Yes</v>
      </c>
      <c r="F8" s="5" t="s">
        <v>26</v>
      </c>
      <c r="G8" s="6" t="n">
        <v>1</v>
      </c>
      <c r="H8" s="5" t="s">
        <v>43</v>
      </c>
      <c r="I8" s="5" t="s">
        <v>44</v>
      </c>
    </row>
    <row r="9" customFormat="false" ht="15" hidden="false" customHeight="false" outlineLevel="0" collapsed="false">
      <c r="A9" s="2" t="s">
        <v>45</v>
      </c>
      <c r="B9" s="2" t="n">
        <f aca="false">Check!B65</f>
        <v>2</v>
      </c>
      <c r="C9" s="4" t="n">
        <f aca="false">Check!D65</f>
        <v>615.675</v>
      </c>
      <c r="D9" s="4" t="n">
        <f aca="false">Check!E65</f>
        <v>615.68</v>
      </c>
      <c r="E9" s="2" t="str">
        <f aca="false">IF(COUNTIF(Check!G65:G72,"NO")=0,"Yes","NO")</f>
        <v>Yes</v>
      </c>
      <c r="F9" s="5" t="s">
        <v>26</v>
      </c>
      <c r="G9" s="6" t="n">
        <v>1</v>
      </c>
      <c r="H9" s="5" t="s">
        <v>40</v>
      </c>
      <c r="I9" s="5" t="s">
        <v>41</v>
      </c>
    </row>
    <row r="10" customFormat="false" ht="15" hidden="false" customHeight="false" outlineLevel="0" collapsed="false">
      <c r="A10" s="2" t="s">
        <v>46</v>
      </c>
      <c r="B10" s="2" t="n">
        <f aca="false">Check!B74</f>
        <v>4</v>
      </c>
      <c r="C10" s="4" t="n">
        <f aca="false">Check!D74</f>
        <v>731.3</v>
      </c>
      <c r="D10" s="4" t="n">
        <f aca="false">Check!E74</f>
        <v>731.3</v>
      </c>
      <c r="E10" s="2" t="str">
        <f aca="false">IF(COUNTIF(Check!G74:G81,"NO")=0,"Yes","NO")</f>
        <v>Yes</v>
      </c>
      <c r="F10" s="5" t="s">
        <v>26</v>
      </c>
      <c r="G10" s="6" t="n">
        <v>1</v>
      </c>
      <c r="H10" s="5" t="s">
        <v>40</v>
      </c>
      <c r="I10" s="5" t="s">
        <v>41</v>
      </c>
    </row>
    <row r="11" customFormat="false" ht="15" hidden="false" customHeight="false" outlineLevel="0" collapsed="false">
      <c r="A11" s="2" t="s">
        <v>47</v>
      </c>
      <c r="B11" s="2" t="n">
        <f aca="false">Check!B83</f>
        <v>2</v>
      </c>
      <c r="C11" s="4" t="n">
        <f aca="false">Check!D83</f>
        <v>618.3</v>
      </c>
      <c r="D11" s="4" t="n">
        <f aca="false">Check!E83</f>
        <v>618.3</v>
      </c>
      <c r="E11" s="2" t="str">
        <f aca="false">IF(COUNTIF(Check!G83:G90,"NO")=0,"Yes","NO")</f>
        <v>Yes</v>
      </c>
      <c r="F11" s="5" t="s">
        <v>26</v>
      </c>
      <c r="G11" s="6" t="n">
        <v>1</v>
      </c>
      <c r="H11" s="5" t="s">
        <v>48</v>
      </c>
      <c r="I11" s="5" t="s">
        <v>49</v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</row>
    <row r="13" customFormat="false" ht="15" hidden="false" customHeight="false" outlineLevel="0" collapsed="false">
      <c r="A13" s="1" t="s">
        <v>50</v>
      </c>
      <c r="B13" s="7"/>
      <c r="C13" s="7"/>
      <c r="D13" s="7"/>
      <c r="E13" s="1" t="str">
        <f aca="false">COUNTIF(E2:E11,"Yes")&amp;" of 10"</f>
        <v>10 of 10</v>
      </c>
      <c r="F13" s="1" t="str">
        <f aca="false">COUNTIF(F2:F11,"Yes")&amp;" of 10"</f>
        <v>10 of 10</v>
      </c>
      <c r="G13" s="7"/>
      <c r="H13" s="7"/>
      <c r="I1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10" min="3" style="0" width="15"/>
  </cols>
  <sheetData>
    <row r="1" customFormat="false" ht="15" hidden="false" customHeight="false" outlineLevel="0" collapsed="false">
      <c r="A1" s="8" t="s">
        <v>51</v>
      </c>
      <c r="B1" s="8" t="s">
        <v>52</v>
      </c>
      <c r="C1" s="8" t="s">
        <v>53</v>
      </c>
      <c r="D1" s="8" t="s">
        <v>54</v>
      </c>
      <c r="E1" s="8" t="s">
        <v>55</v>
      </c>
      <c r="F1" s="8" t="s">
        <v>56</v>
      </c>
      <c r="G1" s="8" t="s">
        <v>57</v>
      </c>
      <c r="H1" s="8" t="s">
        <v>58</v>
      </c>
      <c r="I1" s="8" t="s">
        <v>59</v>
      </c>
      <c r="J1" s="8" t="s">
        <v>60</v>
      </c>
    </row>
    <row r="2" customFormat="false" ht="15" hidden="false" customHeight="false" outlineLevel="0" collapsed="false">
      <c r="A2" s="5" t="s">
        <v>61</v>
      </c>
      <c r="B2" s="5" t="s">
        <v>62</v>
      </c>
      <c r="C2" s="9" t="n">
        <v>343</v>
      </c>
      <c r="D2" s="9" t="n">
        <v>11.3</v>
      </c>
      <c r="E2" s="9" t="n">
        <v>1.6</v>
      </c>
      <c r="F2" s="9" t="n">
        <v>0.23</v>
      </c>
      <c r="G2" s="9" t="n">
        <v>75.6</v>
      </c>
      <c r="H2" s="9" t="n">
        <v>2.1</v>
      </c>
      <c r="I2" s="9" t="n">
        <v>3.7</v>
      </c>
      <c r="J2" s="9" t="n">
        <v>0.005</v>
      </c>
    </row>
    <row r="3" customFormat="false" ht="15" hidden="false" customHeight="false" outlineLevel="0" collapsed="false">
      <c r="A3" s="5" t="s">
        <v>63</v>
      </c>
      <c r="B3" s="5" t="s">
        <v>64</v>
      </c>
      <c r="C3" s="9" t="n">
        <v>381</v>
      </c>
      <c r="D3" s="9" t="n">
        <v>10.9</v>
      </c>
      <c r="E3" s="9" t="n">
        <v>8.1</v>
      </c>
      <c r="F3" s="9" t="n">
        <v>1.28</v>
      </c>
      <c r="G3" s="9" t="n">
        <v>70.7</v>
      </c>
      <c r="H3" s="9" t="n">
        <v>0.3</v>
      </c>
      <c r="I3" s="9" t="n">
        <v>7.8</v>
      </c>
      <c r="J3" s="9" t="n">
        <v>0.003</v>
      </c>
    </row>
    <row r="4" customFormat="false" ht="15" hidden="false" customHeight="false" outlineLevel="0" collapsed="false">
      <c r="A4" s="5" t="s">
        <v>65</v>
      </c>
      <c r="B4" s="5" t="s">
        <v>66</v>
      </c>
      <c r="C4" s="9" t="n">
        <v>351</v>
      </c>
      <c r="D4" s="9" t="n">
        <v>8.1</v>
      </c>
      <c r="E4" s="9" t="n">
        <v>0.5</v>
      </c>
      <c r="F4" s="9" t="n">
        <v>0.14</v>
      </c>
      <c r="G4" s="9" t="n">
        <v>83.7</v>
      </c>
      <c r="H4" s="9" t="n">
        <v>0.1</v>
      </c>
      <c r="I4" s="9" t="n">
        <v>1.1</v>
      </c>
      <c r="J4" s="9" t="n">
        <v>0.003</v>
      </c>
    </row>
    <row r="5" customFormat="false" ht="15" hidden="false" customHeight="false" outlineLevel="0" collapsed="false">
      <c r="A5" s="5" t="s">
        <v>67</v>
      </c>
      <c r="B5" s="5" t="s">
        <v>68</v>
      </c>
      <c r="C5" s="9" t="n">
        <v>355</v>
      </c>
      <c r="D5" s="9" t="n">
        <v>6.7</v>
      </c>
      <c r="E5" s="9" t="n">
        <v>1</v>
      </c>
      <c r="F5" s="9" t="n">
        <v>0.25</v>
      </c>
      <c r="G5" s="9" t="n">
        <v>85.1</v>
      </c>
      <c r="H5" s="9" t="n">
        <v>0.2</v>
      </c>
      <c r="I5" s="9" t="n">
        <v>1.1</v>
      </c>
      <c r="J5" s="9" t="n">
        <v>0.003</v>
      </c>
    </row>
    <row r="6" customFormat="false" ht="15" hidden="false" customHeight="false" outlineLevel="0" collapsed="false">
      <c r="A6" s="5" t="s">
        <v>69</v>
      </c>
      <c r="B6" s="5" t="s">
        <v>70</v>
      </c>
      <c r="C6" s="9" t="n">
        <v>352</v>
      </c>
      <c r="D6" s="9" t="n">
        <v>9.1</v>
      </c>
      <c r="E6" s="9" t="n">
        <v>1.4</v>
      </c>
      <c r="F6" s="9" t="n">
        <v>0.44</v>
      </c>
      <c r="G6" s="9" t="n">
        <v>80.9</v>
      </c>
      <c r="H6" s="9" t="n">
        <v>0.6</v>
      </c>
      <c r="I6" s="9" t="n">
        <v>4</v>
      </c>
      <c r="J6" s="9" t="n">
        <v>0.005</v>
      </c>
    </row>
    <row r="7" customFormat="false" ht="15" hidden="false" customHeight="false" outlineLevel="0" collapsed="false">
      <c r="A7" s="5" t="s">
        <v>71</v>
      </c>
      <c r="B7" s="5" t="s">
        <v>72</v>
      </c>
      <c r="C7" s="9" t="n">
        <v>285</v>
      </c>
      <c r="D7" s="9" t="n">
        <v>7.8</v>
      </c>
      <c r="E7" s="9" t="n">
        <v>5.7</v>
      </c>
      <c r="F7" s="9" t="n">
        <v>2.5</v>
      </c>
      <c r="G7" s="9" t="n">
        <v>53.9</v>
      </c>
      <c r="H7" s="9" t="n">
        <v>2</v>
      </c>
      <c r="I7" s="9" t="n">
        <v>3.6</v>
      </c>
      <c r="J7" s="9" t="n">
        <v>1.555</v>
      </c>
    </row>
    <row r="8" customFormat="false" ht="15" hidden="false" customHeight="false" outlineLevel="0" collapsed="false">
      <c r="A8" s="5" t="s">
        <v>73</v>
      </c>
      <c r="B8" s="5" t="s">
        <v>74</v>
      </c>
      <c r="C8" s="9" t="n">
        <v>79</v>
      </c>
      <c r="D8" s="9" t="n">
        <v>5.7</v>
      </c>
      <c r="E8" s="9" t="n">
        <v>3</v>
      </c>
      <c r="F8" s="9" t="n">
        <v>1.91</v>
      </c>
      <c r="G8" s="9" t="n">
        <v>7.8</v>
      </c>
      <c r="H8" s="9" t="n">
        <v>7.8</v>
      </c>
      <c r="I8" s="9" t="n">
        <v>0</v>
      </c>
      <c r="J8" s="9" t="n">
        <v>0.2</v>
      </c>
    </row>
    <row r="9" customFormat="false" ht="15" hidden="false" customHeight="false" outlineLevel="0" collapsed="false">
      <c r="A9" s="5" t="s">
        <v>75</v>
      </c>
      <c r="B9" s="5" t="s">
        <v>76</v>
      </c>
      <c r="C9" s="9" t="n">
        <v>46</v>
      </c>
      <c r="D9" s="9" t="n">
        <v>3.5</v>
      </c>
      <c r="E9" s="9" t="n">
        <v>1.7</v>
      </c>
      <c r="F9" s="9" t="n">
        <v>1.07</v>
      </c>
      <c r="G9" s="9" t="n">
        <v>4.7</v>
      </c>
      <c r="H9" s="9" t="n">
        <v>4.7</v>
      </c>
      <c r="I9" s="9" t="n">
        <v>0</v>
      </c>
      <c r="J9" s="9" t="n">
        <v>0.107</v>
      </c>
    </row>
    <row r="10" customFormat="false" ht="15" hidden="false" customHeight="false" outlineLevel="0" collapsed="false">
      <c r="A10" s="5" t="s">
        <v>77</v>
      </c>
      <c r="B10" s="5" t="s">
        <v>78</v>
      </c>
      <c r="C10" s="9" t="n">
        <v>416</v>
      </c>
      <c r="D10" s="9" t="n">
        <v>25.4</v>
      </c>
      <c r="E10" s="9" t="n">
        <v>34.9</v>
      </c>
      <c r="F10" s="9" t="n">
        <v>21.68</v>
      </c>
      <c r="G10" s="9" t="n">
        <v>0.1</v>
      </c>
      <c r="H10" s="9" t="n">
        <v>0.1</v>
      </c>
      <c r="I10" s="9" t="n">
        <v>0</v>
      </c>
      <c r="J10" s="9" t="n">
        <v>1.808</v>
      </c>
    </row>
    <row r="11" customFormat="false" ht="15" hidden="false" customHeight="false" outlineLevel="0" collapsed="false">
      <c r="A11" s="5" t="s">
        <v>79</v>
      </c>
      <c r="B11" s="5" t="s">
        <v>80</v>
      </c>
      <c r="C11" s="9" t="n">
        <v>328</v>
      </c>
      <c r="D11" s="9" t="n">
        <v>26</v>
      </c>
      <c r="E11" s="9" t="n">
        <v>24.5</v>
      </c>
      <c r="F11" s="9" t="n">
        <v>15.43</v>
      </c>
      <c r="G11" s="9" t="n">
        <v>0.9</v>
      </c>
      <c r="H11" s="9" t="n">
        <v>0.9</v>
      </c>
      <c r="I11" s="9" t="n">
        <v>0</v>
      </c>
      <c r="J11" s="9" t="n">
        <v>0.048</v>
      </c>
    </row>
    <row r="12" customFormat="false" ht="15" hidden="false" customHeight="false" outlineLevel="0" collapsed="false">
      <c r="A12" s="5" t="s">
        <v>81</v>
      </c>
      <c r="B12" s="5" t="s">
        <v>82</v>
      </c>
      <c r="C12" s="9" t="n">
        <v>415</v>
      </c>
      <c r="D12" s="9" t="n">
        <v>36.2</v>
      </c>
      <c r="E12" s="9" t="n">
        <v>29.7</v>
      </c>
      <c r="F12" s="9" t="n">
        <v>19.25</v>
      </c>
      <c r="G12" s="9" t="n">
        <v>0.9</v>
      </c>
      <c r="H12" s="9" t="n">
        <v>0.9</v>
      </c>
      <c r="I12" s="9" t="n">
        <v>0</v>
      </c>
      <c r="J12" s="9" t="n">
        <v>1.65</v>
      </c>
    </row>
    <row r="13" customFormat="false" ht="15" hidden="false" customHeight="false" outlineLevel="0" collapsed="false">
      <c r="A13" s="5" t="s">
        <v>83</v>
      </c>
      <c r="B13" s="5" t="s">
        <v>84</v>
      </c>
      <c r="C13" s="9" t="n">
        <v>131</v>
      </c>
      <c r="D13" s="9" t="n">
        <v>12.6</v>
      </c>
      <c r="E13" s="9" t="n">
        <v>9</v>
      </c>
      <c r="F13" s="9" t="n">
        <v>2.52</v>
      </c>
      <c r="G13" s="9" t="n">
        <v>0</v>
      </c>
      <c r="H13" s="9" t="n">
        <v>0</v>
      </c>
      <c r="I13" s="9" t="n">
        <v>0</v>
      </c>
      <c r="J13" s="9" t="n">
        <v>0.385</v>
      </c>
    </row>
    <row r="14" customFormat="false" ht="15" hidden="false" customHeight="false" outlineLevel="0" collapsed="false">
      <c r="A14" s="5" t="s">
        <v>85</v>
      </c>
      <c r="B14" s="5" t="s">
        <v>86</v>
      </c>
      <c r="C14" s="9" t="n">
        <v>98</v>
      </c>
      <c r="D14" s="9" t="n">
        <v>7.9</v>
      </c>
      <c r="E14" s="9" t="n">
        <v>0.6</v>
      </c>
      <c r="F14" s="9" t="n">
        <v>0.1</v>
      </c>
      <c r="G14" s="9" t="n">
        <v>16.3</v>
      </c>
      <c r="H14" s="9" t="n">
        <v>1.6</v>
      </c>
      <c r="I14" s="9" t="n">
        <v>4.1</v>
      </c>
      <c r="J14" s="9" t="n">
        <v>0.01</v>
      </c>
    </row>
    <row r="15" customFormat="false" ht="15" hidden="false" customHeight="false" outlineLevel="0" collapsed="false">
      <c r="A15" s="5" t="s">
        <v>87</v>
      </c>
      <c r="B15" s="5" t="s">
        <v>88</v>
      </c>
      <c r="C15" s="9" t="n">
        <v>15</v>
      </c>
      <c r="D15" s="9" t="n">
        <v>0.8</v>
      </c>
      <c r="E15" s="9" t="n">
        <v>0.3</v>
      </c>
      <c r="F15" s="9" t="n">
        <v>0.1</v>
      </c>
      <c r="G15" s="9" t="n">
        <v>2.6</v>
      </c>
      <c r="H15" s="9" t="n">
        <v>2.4</v>
      </c>
      <c r="I15" s="9" t="n">
        <v>1.6</v>
      </c>
      <c r="J15" s="9" t="n">
        <v>0.01</v>
      </c>
    </row>
    <row r="16" customFormat="false" ht="15" hidden="false" customHeight="false" outlineLevel="0" collapsed="false">
      <c r="A16" s="5" t="s">
        <v>89</v>
      </c>
      <c r="B16" s="5" t="s">
        <v>90</v>
      </c>
      <c r="C16" s="9" t="n">
        <v>34</v>
      </c>
      <c r="D16" s="9" t="n">
        <v>0.5</v>
      </c>
      <c r="E16" s="9" t="n">
        <v>0.4</v>
      </c>
      <c r="F16" s="9" t="n">
        <v>0.1</v>
      </c>
      <c r="G16" s="9" t="n">
        <v>7.7</v>
      </c>
      <c r="H16" s="9" t="n">
        <v>7.2</v>
      </c>
      <c r="I16" s="9" t="n">
        <v>3.9</v>
      </c>
      <c r="J16" s="9" t="n">
        <v>0.068</v>
      </c>
    </row>
    <row r="17" customFormat="false" ht="15" hidden="false" customHeight="false" outlineLevel="0" collapsed="false">
      <c r="A17" s="5" t="s">
        <v>91</v>
      </c>
      <c r="B17" s="5" t="s">
        <v>92</v>
      </c>
      <c r="C17" s="9" t="n">
        <v>35</v>
      </c>
      <c r="D17" s="9" t="n">
        <v>1</v>
      </c>
      <c r="E17" s="9" t="n">
        <v>0.1</v>
      </c>
      <c r="F17" s="9" t="n">
        <v>0</v>
      </c>
      <c r="G17" s="9" t="n">
        <v>8</v>
      </c>
      <c r="H17" s="9" t="n">
        <v>6.2</v>
      </c>
      <c r="I17" s="9" t="n">
        <v>2.2</v>
      </c>
      <c r="J17" s="9" t="n">
        <v>0.007</v>
      </c>
    </row>
    <row r="18" customFormat="false" ht="15" hidden="false" customHeight="false" outlineLevel="0" collapsed="false">
      <c r="A18" s="5" t="s">
        <v>93</v>
      </c>
      <c r="B18" s="5" t="s">
        <v>94</v>
      </c>
      <c r="C18" s="9" t="n">
        <v>34</v>
      </c>
      <c r="D18" s="9" t="n">
        <v>4.3</v>
      </c>
      <c r="E18" s="9" t="n">
        <v>0.6</v>
      </c>
      <c r="F18" s="9" t="n">
        <v>0.15</v>
      </c>
      <c r="G18" s="9" t="n">
        <v>3.2</v>
      </c>
      <c r="H18" s="9" t="n">
        <v>1.9</v>
      </c>
      <c r="I18" s="9" t="n">
        <v>4</v>
      </c>
      <c r="J18" s="9" t="n">
        <v>0.022</v>
      </c>
    </row>
    <row r="19" customFormat="false" ht="15" hidden="false" customHeight="false" outlineLevel="0" collapsed="false">
      <c r="A19" s="5" t="s">
        <v>95</v>
      </c>
      <c r="B19" s="5" t="s">
        <v>96</v>
      </c>
      <c r="C19" s="9" t="n">
        <v>7</v>
      </c>
      <c r="D19" s="9" t="n">
        <v>1</v>
      </c>
      <c r="E19" s="9" t="n">
        <v>0.2</v>
      </c>
      <c r="F19" s="9" t="n">
        <v>0.04</v>
      </c>
      <c r="G19" s="9" t="n">
        <v>0.3</v>
      </c>
      <c r="H19" s="9" t="n">
        <v>0.3</v>
      </c>
      <c r="I19" s="9" t="n">
        <v>0.7</v>
      </c>
      <c r="J19" s="9" t="n">
        <v>0.01</v>
      </c>
    </row>
    <row r="20" customFormat="false" ht="15" hidden="false" customHeight="false" outlineLevel="0" collapsed="false">
      <c r="A20" s="5" t="s">
        <v>97</v>
      </c>
      <c r="B20" s="5" t="s">
        <v>98</v>
      </c>
      <c r="C20" s="9" t="n">
        <v>11</v>
      </c>
      <c r="D20" s="9" t="n">
        <v>1.2</v>
      </c>
      <c r="E20" s="9" t="n">
        <v>0.1</v>
      </c>
      <c r="F20" s="9" t="n">
        <v>0.03</v>
      </c>
      <c r="G20" s="9" t="n">
        <v>1.4</v>
      </c>
      <c r="H20" s="9" t="n">
        <v>1.4</v>
      </c>
      <c r="I20" s="9" t="n">
        <v>1.5</v>
      </c>
      <c r="J20" s="9" t="n">
        <v>0.022</v>
      </c>
    </row>
    <row r="21" customFormat="false" ht="15" hidden="false" customHeight="false" outlineLevel="0" collapsed="false">
      <c r="A21" s="5" t="s">
        <v>99</v>
      </c>
      <c r="B21" s="5" t="s">
        <v>100</v>
      </c>
      <c r="C21" s="9" t="n">
        <v>21</v>
      </c>
      <c r="D21" s="9" t="n">
        <v>0.8</v>
      </c>
      <c r="E21" s="9" t="n">
        <v>0.2</v>
      </c>
      <c r="F21" s="9" t="n">
        <v>0.05</v>
      </c>
      <c r="G21" s="9" t="n">
        <v>4.3</v>
      </c>
      <c r="H21" s="9" t="n">
        <v>4.2</v>
      </c>
      <c r="I21" s="9" t="n">
        <v>2.2</v>
      </c>
      <c r="J21" s="9" t="n">
        <v>0.003</v>
      </c>
    </row>
    <row r="22" customFormat="false" ht="15" hidden="false" customHeight="false" outlineLevel="0" collapsed="false">
      <c r="A22" s="5" t="s">
        <v>101</v>
      </c>
      <c r="B22" s="5" t="s">
        <v>102</v>
      </c>
      <c r="C22" s="9" t="n">
        <v>19</v>
      </c>
      <c r="D22" s="9" t="n">
        <v>1.1</v>
      </c>
      <c r="E22" s="9" t="n">
        <v>0.1</v>
      </c>
      <c r="F22" s="9" t="n">
        <v>0.01</v>
      </c>
      <c r="G22" s="9" t="n">
        <v>3.8</v>
      </c>
      <c r="H22" s="9" t="n">
        <v>3.8</v>
      </c>
      <c r="I22" s="9" t="n">
        <v>0.8</v>
      </c>
      <c r="J22" s="9" t="n">
        <v>0.013</v>
      </c>
    </row>
    <row r="23" customFormat="false" ht="15" hidden="false" customHeight="false" outlineLevel="0" collapsed="false">
      <c r="A23" s="5" t="s">
        <v>103</v>
      </c>
      <c r="B23" s="5" t="s">
        <v>104</v>
      </c>
      <c r="C23" s="9" t="n">
        <v>67</v>
      </c>
      <c r="D23" s="9" t="n">
        <v>4.4</v>
      </c>
      <c r="E23" s="9" t="n">
        <v>0.2</v>
      </c>
      <c r="F23" s="9" t="n">
        <v>0.04</v>
      </c>
      <c r="G23" s="9" t="n">
        <v>12.9</v>
      </c>
      <c r="H23" s="9" t="n">
        <v>12.9</v>
      </c>
      <c r="I23" s="9" t="n">
        <v>4.7</v>
      </c>
      <c r="J23" s="9" t="n">
        <v>0.122</v>
      </c>
    </row>
    <row r="24" customFormat="false" ht="15" hidden="false" customHeight="false" outlineLevel="0" collapsed="false">
      <c r="A24" s="5" t="s">
        <v>105</v>
      </c>
      <c r="B24" s="5" t="s">
        <v>106</v>
      </c>
      <c r="C24" s="9" t="n">
        <v>25</v>
      </c>
      <c r="D24" s="9" t="n">
        <v>2.8</v>
      </c>
      <c r="E24" s="9" t="n">
        <v>0.8</v>
      </c>
      <c r="F24" s="9" t="n">
        <v>0.1</v>
      </c>
      <c r="G24" s="9" t="n">
        <v>1.6</v>
      </c>
      <c r="H24" s="9" t="n">
        <v>1.5</v>
      </c>
      <c r="I24" s="9" t="n">
        <v>2.1</v>
      </c>
      <c r="J24" s="9" t="n">
        <v>0.35</v>
      </c>
    </row>
    <row r="25" customFormat="false" ht="15" hidden="false" customHeight="false" outlineLevel="0" collapsed="false">
      <c r="A25" s="5" t="s">
        <v>107</v>
      </c>
      <c r="B25" s="5" t="s">
        <v>108</v>
      </c>
      <c r="C25" s="9" t="n">
        <v>68</v>
      </c>
      <c r="D25" s="9" t="n">
        <v>1.7</v>
      </c>
      <c r="E25" s="9" t="n">
        <v>0.1</v>
      </c>
      <c r="F25" s="9" t="n">
        <v>0.04</v>
      </c>
      <c r="G25" s="9" t="n">
        <v>16.1</v>
      </c>
      <c r="H25" s="9" t="n">
        <v>1.3</v>
      </c>
      <c r="I25" s="9" t="n">
        <v>1.8</v>
      </c>
      <c r="J25" s="9" t="n">
        <v>0.007</v>
      </c>
    </row>
    <row r="26" customFormat="false" ht="15" hidden="false" customHeight="false" outlineLevel="0" collapsed="false">
      <c r="A26" s="5" t="s">
        <v>109</v>
      </c>
      <c r="B26" s="5" t="s">
        <v>110</v>
      </c>
      <c r="C26" s="9" t="n">
        <v>60</v>
      </c>
      <c r="D26" s="9" t="n">
        <v>3.4</v>
      </c>
      <c r="E26" s="9" t="n">
        <v>1.8</v>
      </c>
      <c r="F26" s="9" t="n">
        <v>0.2</v>
      </c>
      <c r="G26" s="9" t="n">
        <v>8.1</v>
      </c>
      <c r="H26" s="9" t="n">
        <v>2</v>
      </c>
      <c r="I26" s="9" t="n">
        <v>1.5</v>
      </c>
      <c r="J26" s="9" t="n">
        <v>0.003</v>
      </c>
    </row>
    <row r="27" customFormat="false" ht="15" hidden="false" customHeight="false" outlineLevel="0" collapsed="false">
      <c r="A27" s="5" t="s">
        <v>111</v>
      </c>
      <c r="B27" s="5" t="s">
        <v>112</v>
      </c>
      <c r="C27" s="9" t="n">
        <v>311</v>
      </c>
      <c r="D27" s="9" t="n">
        <v>25.6</v>
      </c>
      <c r="E27" s="9" t="n">
        <v>1.8</v>
      </c>
      <c r="F27" s="9" t="n">
        <v>0.28</v>
      </c>
      <c r="G27" s="9" t="n">
        <v>51.2</v>
      </c>
      <c r="H27" s="9" t="n">
        <v>1.3</v>
      </c>
      <c r="I27" s="9" t="n">
        <v>17.4</v>
      </c>
      <c r="J27" s="9" t="n">
        <v>0</v>
      </c>
    </row>
    <row r="28" customFormat="false" ht="15" hidden="false" customHeight="false" outlineLevel="0" collapsed="false">
      <c r="A28" s="5" t="s">
        <v>113</v>
      </c>
      <c r="B28" s="5" t="s">
        <v>114</v>
      </c>
      <c r="C28" s="9" t="n">
        <v>129</v>
      </c>
      <c r="D28" s="9" t="n">
        <v>8.4</v>
      </c>
      <c r="E28" s="9" t="n">
        <v>3</v>
      </c>
      <c r="F28" s="9" t="n">
        <v>0.29</v>
      </c>
      <c r="G28" s="9" t="n">
        <v>18.3</v>
      </c>
      <c r="H28" s="9" t="n">
        <v>0.7</v>
      </c>
      <c r="I28" s="9" t="n">
        <v>7.1</v>
      </c>
      <c r="J28" s="9" t="n">
        <v>0.003</v>
      </c>
    </row>
    <row r="29" customFormat="false" ht="15" hidden="false" customHeight="false" outlineLevel="0" collapsed="false">
      <c r="A29" s="5" t="s">
        <v>115</v>
      </c>
      <c r="B29" s="5" t="s">
        <v>116</v>
      </c>
      <c r="C29" s="9" t="n">
        <v>379</v>
      </c>
      <c r="D29" s="9" t="n">
        <v>15.6</v>
      </c>
      <c r="E29" s="9" t="n">
        <v>15.1</v>
      </c>
      <c r="F29" s="9"/>
      <c r="G29" s="9" t="n">
        <v>45.2</v>
      </c>
      <c r="H29" s="9"/>
      <c r="I29" s="9"/>
      <c r="J29" s="9" t="n">
        <v>0.242</v>
      </c>
    </row>
    <row r="30" customFormat="false" ht="15" hidden="false" customHeight="false" outlineLevel="0" collapsed="false">
      <c r="A30" s="5" t="s">
        <v>117</v>
      </c>
      <c r="B30" s="5" t="s">
        <v>118</v>
      </c>
      <c r="C30" s="9"/>
      <c r="D30" s="9" t="n">
        <v>6.7</v>
      </c>
      <c r="E30" s="9" t="n">
        <v>7</v>
      </c>
      <c r="F30" s="9" t="n">
        <v>2.9</v>
      </c>
      <c r="G30" s="9"/>
      <c r="H30" s="9"/>
      <c r="I30" s="9"/>
      <c r="J30" s="9" t="n">
        <v>0.077</v>
      </c>
    </row>
    <row r="31" customFormat="false" ht="15" hidden="false" customHeight="false" outlineLevel="0" collapsed="false">
      <c r="A31" s="5" t="s">
        <v>119</v>
      </c>
      <c r="B31" s="5" t="s">
        <v>120</v>
      </c>
      <c r="C31" s="9" t="n">
        <v>233</v>
      </c>
      <c r="D31" s="9" t="n">
        <v>9.5</v>
      </c>
      <c r="E31" s="9" t="n">
        <v>10.8</v>
      </c>
      <c r="F31" s="9"/>
      <c r="G31" s="9" t="n">
        <v>26.1</v>
      </c>
      <c r="H31" s="9"/>
      <c r="I31" s="9" t="n">
        <v>23</v>
      </c>
      <c r="J31" s="9" t="n">
        <v>1.125</v>
      </c>
    </row>
    <row r="32" customFormat="false" ht="15" hidden="false" customHeight="false" outlineLevel="0" collapsed="false">
      <c r="A32" s="5" t="s">
        <v>121</v>
      </c>
      <c r="B32" s="5" t="s">
        <v>122</v>
      </c>
      <c r="C32" s="9"/>
      <c r="D32" s="9" t="n">
        <v>17.8</v>
      </c>
      <c r="E32" s="9" t="n">
        <v>22.3</v>
      </c>
      <c r="F32" s="9" t="n">
        <v>1.54</v>
      </c>
      <c r="G32" s="9"/>
      <c r="H32" s="9" t="n">
        <v>2.3</v>
      </c>
      <c r="I32" s="9" t="n">
        <v>10.5</v>
      </c>
      <c r="J32" s="9" t="n">
        <v>0.42</v>
      </c>
    </row>
    <row r="33" customFormat="false" ht="15" hidden="false" customHeight="false" outlineLevel="0" collapsed="false">
      <c r="A33" s="5" t="s">
        <v>123</v>
      </c>
      <c r="B33" s="5" t="s">
        <v>124</v>
      </c>
      <c r="C33" s="9" t="n">
        <v>44</v>
      </c>
      <c r="D33" s="9" t="n">
        <v>1.8</v>
      </c>
      <c r="E33" s="9" t="n">
        <v>0.8</v>
      </c>
      <c r="F33" s="9" t="n">
        <v>0.2</v>
      </c>
      <c r="G33" s="9" t="n">
        <v>8.1</v>
      </c>
      <c r="H33" s="9" t="n">
        <v>1.7</v>
      </c>
      <c r="I33" s="9" t="n">
        <v>2</v>
      </c>
      <c r="J33" s="9" t="n">
        <v>0.033</v>
      </c>
    </row>
    <row r="34" customFormat="false" ht="15" hidden="false" customHeight="false" outlineLevel="0" collapsed="false">
      <c r="A34" s="5" t="s">
        <v>125</v>
      </c>
      <c r="B34" s="5" t="s">
        <v>126</v>
      </c>
      <c r="C34" s="9" t="n">
        <v>7</v>
      </c>
      <c r="D34" s="9" t="n">
        <v>0.3</v>
      </c>
      <c r="E34" s="9" t="n">
        <v>0</v>
      </c>
      <c r="F34" s="9" t="n">
        <v>0</v>
      </c>
      <c r="G34" s="9" t="n">
        <v>1.6</v>
      </c>
      <c r="H34" s="9" t="n">
        <v>1.6</v>
      </c>
      <c r="I34" s="9" t="n">
        <v>0.1</v>
      </c>
      <c r="J34" s="9" t="n">
        <v>0.003</v>
      </c>
    </row>
    <row r="35" customFormat="false" ht="15" hidden="false" customHeight="false" outlineLevel="0" collapsed="false">
      <c r="A35" s="5" t="s">
        <v>127</v>
      </c>
      <c r="B35" s="5" t="s">
        <v>128</v>
      </c>
      <c r="C35" s="9" t="n">
        <v>81</v>
      </c>
      <c r="D35" s="9" t="n">
        <v>1.2</v>
      </c>
      <c r="E35" s="9" t="n">
        <v>0.1</v>
      </c>
      <c r="F35" s="9" t="n">
        <v>0.04</v>
      </c>
      <c r="G35" s="9" t="n">
        <v>20.3</v>
      </c>
      <c r="H35" s="9" t="n">
        <v>18.1</v>
      </c>
      <c r="I35" s="9" t="n">
        <v>1.4</v>
      </c>
      <c r="J35" s="9" t="n">
        <v>0</v>
      </c>
    </row>
    <row r="36" customFormat="false" ht="15" hidden="false" customHeight="false" outlineLevel="0" collapsed="false">
      <c r="A36" s="5" t="s">
        <v>129</v>
      </c>
      <c r="B36" s="5" t="s">
        <v>130</v>
      </c>
      <c r="C36" s="9" t="n">
        <v>169</v>
      </c>
      <c r="D36" s="9" t="n">
        <v>1.1</v>
      </c>
      <c r="E36" s="9" t="n">
        <v>16.9</v>
      </c>
      <c r="F36" s="9" t="n">
        <v>14.64</v>
      </c>
      <c r="G36" s="9" t="n">
        <v>3.3</v>
      </c>
      <c r="H36" s="9" t="n">
        <v>2</v>
      </c>
      <c r="I36" s="9" t="n">
        <v>0.4</v>
      </c>
      <c r="J36" s="9" t="n">
        <v>0</v>
      </c>
    </row>
    <row r="37" customFormat="false" ht="15" hidden="false" customHeight="false" outlineLevel="0" collapsed="false">
      <c r="A37" s="5" t="s">
        <v>131</v>
      </c>
      <c r="B37" s="5" t="s">
        <v>132</v>
      </c>
      <c r="C37" s="9" t="n">
        <v>217</v>
      </c>
      <c r="D37" s="9" t="n">
        <v>20.4</v>
      </c>
      <c r="E37" s="9" t="n">
        <v>15</v>
      </c>
      <c r="F37" s="9" t="n">
        <v>2.77</v>
      </c>
      <c r="G37" s="9" t="n">
        <v>0</v>
      </c>
      <c r="H37" s="9" t="n">
        <v>0</v>
      </c>
      <c r="I37" s="9" t="n">
        <v>0.2</v>
      </c>
      <c r="J37" s="9" t="n">
        <v>0.107</v>
      </c>
    </row>
    <row r="38" customFormat="false" ht="15" hidden="false" customHeight="false" outlineLevel="0" collapsed="false">
      <c r="A38" s="5" t="s">
        <v>133</v>
      </c>
      <c r="B38" s="5" t="s">
        <v>134</v>
      </c>
      <c r="C38" s="9" t="n">
        <v>109</v>
      </c>
      <c r="D38" s="9" t="n">
        <v>24.9</v>
      </c>
      <c r="E38" s="9" t="n">
        <v>1</v>
      </c>
      <c r="F38" s="9" t="n">
        <v>0.3</v>
      </c>
      <c r="G38" s="9" t="n">
        <v>0</v>
      </c>
      <c r="H38" s="9" t="n">
        <v>0</v>
      </c>
      <c r="I38" s="9" t="n">
        <v>0</v>
      </c>
      <c r="J38" s="9" t="n">
        <v>0.733</v>
      </c>
    </row>
    <row r="39" customFormat="false" ht="15" hidden="false" customHeight="false" outlineLevel="0" collapsed="false">
      <c r="A39" s="5" t="s">
        <v>135</v>
      </c>
      <c r="B39" s="5" t="s">
        <v>136</v>
      </c>
      <c r="C39" s="9" t="n">
        <v>899</v>
      </c>
      <c r="D39" s="9" t="n">
        <v>0</v>
      </c>
      <c r="E39" s="9" t="n">
        <v>99.9</v>
      </c>
      <c r="F39" s="9" t="n">
        <v>14.3</v>
      </c>
      <c r="G39" s="9" t="n">
        <v>0</v>
      </c>
      <c r="H39" s="9" t="n">
        <v>0</v>
      </c>
      <c r="I39" s="9" t="n">
        <v>0</v>
      </c>
      <c r="J39" s="9" t="n">
        <v>0</v>
      </c>
    </row>
    <row r="40" customFormat="false" ht="15" hidden="false" customHeight="false" outlineLevel="0" collapsed="false">
      <c r="A40" s="5" t="s">
        <v>137</v>
      </c>
      <c r="B40" s="5" t="s">
        <v>138</v>
      </c>
      <c r="C40" s="9" t="n">
        <v>288</v>
      </c>
      <c r="D40" s="9" t="n">
        <v>0.4</v>
      </c>
      <c r="E40" s="9" t="n">
        <v>0</v>
      </c>
      <c r="F40" s="9" t="n">
        <v>0</v>
      </c>
      <c r="G40" s="9" t="n">
        <v>76.4</v>
      </c>
      <c r="H40" s="9" t="n">
        <v>76.4</v>
      </c>
      <c r="I40" s="9" t="n">
        <v>0</v>
      </c>
      <c r="J40" s="9" t="n">
        <v>0.028</v>
      </c>
    </row>
    <row r="41" customFormat="false" ht="15" hidden="false" customHeight="false" outlineLevel="0" collapsed="false">
      <c r="A41" s="5" t="s">
        <v>139</v>
      </c>
      <c r="B41" s="5" t="s">
        <v>140</v>
      </c>
      <c r="C41" s="9" t="n">
        <v>394</v>
      </c>
      <c r="D41" s="9" t="n">
        <v>0</v>
      </c>
      <c r="E41" s="9" t="n">
        <v>0</v>
      </c>
      <c r="F41" s="9" t="n">
        <v>0</v>
      </c>
      <c r="G41" s="9" t="n">
        <v>105</v>
      </c>
      <c r="H41" s="9" t="n">
        <v>105</v>
      </c>
      <c r="I41" s="9" t="n">
        <v>0</v>
      </c>
      <c r="J41" s="9" t="n">
        <v>0.013</v>
      </c>
    </row>
    <row r="42" customFormat="false" ht="15" hidden="false" customHeight="false" outlineLevel="0" collapsed="false">
      <c r="A42" s="5" t="s">
        <v>141</v>
      </c>
      <c r="B42" s="5" t="s">
        <v>142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98.25</v>
      </c>
    </row>
    <row r="43" customFormat="false" ht="15" hidden="false" customHeight="false" outlineLevel="0" collapsed="false">
      <c r="A43" s="5" t="s">
        <v>143</v>
      </c>
      <c r="B43" s="5" t="s">
        <v>144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</row>
    <row r="44" customFormat="false" ht="15" hidden="false" customHeight="false" outlineLevel="0" collapsed="false">
      <c r="A44" s="5" t="s">
        <v>145</v>
      </c>
      <c r="B44" s="5" t="s">
        <v>146</v>
      </c>
      <c r="C44" s="9" t="n">
        <v>510</v>
      </c>
      <c r="D44" s="9" t="n">
        <v>5</v>
      </c>
      <c r="E44" s="9" t="n">
        <v>28</v>
      </c>
      <c r="F44" s="9" t="n">
        <v>16.8</v>
      </c>
      <c r="G44" s="9" t="n">
        <v>63.5</v>
      </c>
      <c r="H44" s="9" t="n">
        <v>62.6</v>
      </c>
      <c r="I44" s="9" t="n">
        <v>2.5</v>
      </c>
      <c r="J44" s="9" t="n">
        <v>0.015</v>
      </c>
    </row>
    <row r="45" customFormat="false" ht="15" hidden="false" customHeight="false" outlineLevel="0" collapsed="false">
      <c r="A45" s="5" t="s">
        <v>147</v>
      </c>
      <c r="B45" s="5" t="s">
        <v>148</v>
      </c>
      <c r="C45" s="9" t="n">
        <v>878</v>
      </c>
      <c r="D45" s="9" t="n">
        <v>0.1</v>
      </c>
      <c r="E45" s="9" t="n">
        <v>97.6</v>
      </c>
      <c r="F45" s="9" t="n">
        <v>58.42</v>
      </c>
      <c r="G45" s="9" t="n">
        <v>0</v>
      </c>
      <c r="H45" s="9" t="n">
        <v>0</v>
      </c>
      <c r="I45" s="9" t="n">
        <v>0</v>
      </c>
      <c r="J45" s="9" t="n">
        <v>0.003</v>
      </c>
    </row>
    <row r="46" customFormat="false" ht="15" hidden="false" customHeight="false" outlineLevel="0" collapsed="false">
      <c r="A46" s="5" t="s">
        <v>149</v>
      </c>
      <c r="B46" s="5" t="s">
        <v>150</v>
      </c>
      <c r="C46" s="9" t="n">
        <v>744</v>
      </c>
      <c r="D46" s="9" t="n">
        <v>0.6</v>
      </c>
      <c r="E46" s="9" t="n">
        <v>82.2</v>
      </c>
      <c r="F46" s="9" t="n">
        <v>52.09</v>
      </c>
      <c r="G46" s="9" t="n">
        <v>0.6</v>
      </c>
      <c r="H46" s="9" t="n">
        <v>0.6</v>
      </c>
      <c r="I46" s="9" t="n">
        <v>0</v>
      </c>
      <c r="J46" s="9" t="n">
        <v>1.825</v>
      </c>
    </row>
    <row r="47" customFormat="false" ht="15" hidden="false" customHeight="false" outlineLevel="0" collapsed="false">
      <c r="A47" s="5" t="s">
        <v>151</v>
      </c>
      <c r="B47" s="5" t="s">
        <v>152</v>
      </c>
      <c r="C47" s="9" t="n">
        <v>899</v>
      </c>
      <c r="D47" s="9" t="n">
        <v>0</v>
      </c>
      <c r="E47" s="9" t="n">
        <v>99.9</v>
      </c>
      <c r="F47" s="9" t="n">
        <v>6.6</v>
      </c>
      <c r="G47" s="9" t="n">
        <v>0</v>
      </c>
      <c r="H47" s="9" t="n">
        <v>0</v>
      </c>
      <c r="I47" s="9" t="n">
        <v>0</v>
      </c>
      <c r="J47" s="9" t="n">
        <v>0</v>
      </c>
    </row>
    <row r="48" customFormat="false" ht="15" hidden="false" customHeight="false" outlineLevel="0" collapsed="false">
      <c r="A48" s="5" t="s">
        <v>153</v>
      </c>
      <c r="B48" s="5" t="s">
        <v>154</v>
      </c>
      <c r="C48" s="9" t="n">
        <v>106</v>
      </c>
      <c r="D48" s="9" t="n">
        <v>24</v>
      </c>
      <c r="E48" s="9" t="n">
        <v>1.1</v>
      </c>
      <c r="F48" s="9" t="n">
        <v>0.3</v>
      </c>
      <c r="G48" s="9" t="n">
        <v>0</v>
      </c>
      <c r="H48" s="9" t="n">
        <v>0</v>
      </c>
      <c r="I48" s="9" t="n">
        <v>0</v>
      </c>
      <c r="J48" s="9" t="n">
        <v>0.15</v>
      </c>
    </row>
    <row r="49" customFormat="false" ht="15" hidden="false" customHeight="false" outlineLevel="0" collapsed="false">
      <c r="A49" s="5" t="s">
        <v>155</v>
      </c>
      <c r="B49" s="5" t="s">
        <v>156</v>
      </c>
      <c r="C49" s="9" t="n">
        <v>225</v>
      </c>
      <c r="D49" s="9" t="n">
        <v>19.7</v>
      </c>
      <c r="E49" s="9" t="n">
        <v>16.2</v>
      </c>
      <c r="F49" s="9" t="n">
        <v>6.94</v>
      </c>
      <c r="G49" s="9" t="n">
        <v>0</v>
      </c>
      <c r="H49" s="9" t="n">
        <v>0</v>
      </c>
      <c r="I49" s="9" t="n">
        <v>0</v>
      </c>
      <c r="J49" s="9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48"/>
    <col collapsed="false" customWidth="true" hidden="false" outlineLevel="0" max="14" min="7" style="0" width="14"/>
  </cols>
  <sheetData>
    <row r="1" customFormat="false" ht="15" hidden="false" customHeight="false" outlineLevel="0" collapsed="false">
      <c r="A1" s="8" t="s">
        <v>16</v>
      </c>
      <c r="B1" s="8" t="s">
        <v>17</v>
      </c>
      <c r="C1" s="8" t="s">
        <v>157</v>
      </c>
      <c r="D1" s="8" t="s">
        <v>158</v>
      </c>
      <c r="E1" s="8" t="s">
        <v>51</v>
      </c>
      <c r="F1" s="8" t="s">
        <v>52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57</v>
      </c>
      <c r="L1" s="8" t="s">
        <v>58</v>
      </c>
      <c r="M1" s="8" t="s">
        <v>59</v>
      </c>
      <c r="N1" s="8" t="s">
        <v>60</v>
      </c>
    </row>
    <row r="2" customFormat="false" ht="15" hidden="false" customHeight="false" outlineLevel="0" collapsed="false">
      <c r="A2" s="2" t="s">
        <v>25</v>
      </c>
      <c r="B2" s="5" t="n">
        <v>2</v>
      </c>
      <c r="C2" s="5" t="s">
        <v>159</v>
      </c>
      <c r="D2" s="5" t="n">
        <v>300</v>
      </c>
      <c r="E2" s="5" t="s">
        <v>153</v>
      </c>
      <c r="F2" s="10" t="str">
        <f aca="false">INDEX(CoFID!$B$2:$B$49,MATCH(E2,CoFID!$A$2:$A$49,0))</f>
        <v>Chicken, light meat, raw</v>
      </c>
      <c r="G2" s="11" t="n">
        <f aca="false">D2/100*N(INDEX(CoFID!$C$2:$C$49,MATCH(E2,CoFID!$A$2:$A$49,0)))</f>
        <v>318</v>
      </c>
      <c r="H2" s="11" t="n">
        <f aca="false">D2/100*N(INDEX(CoFID!$D$2:$D$49,MATCH(E2,CoFID!$A$2:$A$49,0)))</f>
        <v>72</v>
      </c>
      <c r="I2" s="11" t="n">
        <f aca="false">D2/100*N(INDEX(CoFID!$E$2:$E$49,MATCH(E2,CoFID!$A$2:$A$49,0)))</f>
        <v>3.3</v>
      </c>
      <c r="J2" s="11" t="n">
        <f aca="false">D2/100*N(INDEX(CoFID!$F$2:$F$49,MATCH(E2,CoFID!$A$2:$A$49,0)))</f>
        <v>0.9</v>
      </c>
      <c r="K2" s="11" t="n">
        <f aca="false">D2/100*N(INDEX(CoFID!$G$2:$G$49,MATCH(E2,CoFID!$A$2:$A$49,0)))</f>
        <v>0</v>
      </c>
      <c r="L2" s="11" t="n">
        <f aca="false">D2/100*N(INDEX(CoFID!$H$2:$H$49,MATCH(E2,CoFID!$A$2:$A$49,0)))</f>
        <v>0</v>
      </c>
      <c r="M2" s="11" t="n">
        <f aca="false">D2/100*N(INDEX(CoFID!$I$2:$I$49,MATCH(E2,CoFID!$A$2:$A$49,0)))</f>
        <v>0</v>
      </c>
      <c r="N2" s="11" t="n">
        <f aca="false">D2/100*N(INDEX(CoFID!$J$2:$J$49,MATCH(E2,CoFID!$A$2:$A$49,0)))</f>
        <v>0.45</v>
      </c>
    </row>
    <row r="3" customFormat="false" ht="15" hidden="false" customHeight="false" outlineLevel="0" collapsed="false">
      <c r="A3" s="2" t="s">
        <v>25</v>
      </c>
      <c r="B3" s="5" t="n">
        <v>2</v>
      </c>
      <c r="C3" s="5" t="s">
        <v>160</v>
      </c>
      <c r="D3" s="5" t="n">
        <v>200</v>
      </c>
      <c r="E3" s="5" t="s">
        <v>65</v>
      </c>
      <c r="F3" s="10" t="str">
        <f aca="false">INDEX(CoFID!$B$2:$B$49,MATCH(E3,CoFID!$A$2:$A$49,0))</f>
        <v>Rice, white, basmati, raw</v>
      </c>
      <c r="G3" s="11" t="n">
        <f aca="false">D3/100*N(INDEX(CoFID!$C$2:$C$49,MATCH(E3,CoFID!$A$2:$A$49,0)))</f>
        <v>702</v>
      </c>
      <c r="H3" s="11" t="n">
        <f aca="false">D3/100*N(INDEX(CoFID!$D$2:$D$49,MATCH(E3,CoFID!$A$2:$A$49,0)))</f>
        <v>16.2</v>
      </c>
      <c r="I3" s="11" t="n">
        <f aca="false">D3/100*N(INDEX(CoFID!$E$2:$E$49,MATCH(E3,CoFID!$A$2:$A$49,0)))</f>
        <v>1</v>
      </c>
      <c r="J3" s="11" t="n">
        <f aca="false">D3/100*N(INDEX(CoFID!$F$2:$F$49,MATCH(E3,CoFID!$A$2:$A$49,0)))</f>
        <v>0.28</v>
      </c>
      <c r="K3" s="11" t="n">
        <f aca="false">D3/100*N(INDEX(CoFID!$G$2:$G$49,MATCH(E3,CoFID!$A$2:$A$49,0)))</f>
        <v>167.4</v>
      </c>
      <c r="L3" s="11" t="n">
        <f aca="false">D3/100*N(INDEX(CoFID!$H$2:$H$49,MATCH(E3,CoFID!$A$2:$A$49,0)))</f>
        <v>0.2</v>
      </c>
      <c r="M3" s="11" t="n">
        <f aca="false">D3/100*N(INDEX(CoFID!$I$2:$I$49,MATCH(E3,CoFID!$A$2:$A$49,0)))</f>
        <v>2.2</v>
      </c>
      <c r="N3" s="11" t="n">
        <f aca="false">D3/100*N(INDEX(CoFID!$J$2:$J$49,MATCH(E3,CoFID!$A$2:$A$49,0)))</f>
        <v>0.006</v>
      </c>
    </row>
    <row r="4" customFormat="false" ht="15" hidden="false" customHeight="false" outlineLevel="0" collapsed="false">
      <c r="A4" s="2" t="s">
        <v>25</v>
      </c>
      <c r="B4" s="5" t="n">
        <v>2</v>
      </c>
      <c r="C4" s="5" t="s">
        <v>161</v>
      </c>
      <c r="D4" s="5" t="n">
        <v>100</v>
      </c>
      <c r="E4" s="5" t="s">
        <v>105</v>
      </c>
      <c r="F4" s="10" t="str">
        <f aca="false">INDEX(CoFID!$B$2:$B$49,MATCH(E4,CoFID!$A$2:$A$49,0))</f>
        <v>Spinach, mature, raw</v>
      </c>
      <c r="G4" s="11" t="n">
        <f aca="false">D4/100*N(INDEX(CoFID!$C$2:$C$49,MATCH(E4,CoFID!$A$2:$A$49,0)))</f>
        <v>25</v>
      </c>
      <c r="H4" s="11" t="n">
        <f aca="false">D4/100*N(INDEX(CoFID!$D$2:$D$49,MATCH(E4,CoFID!$A$2:$A$49,0)))</f>
        <v>2.8</v>
      </c>
      <c r="I4" s="11" t="n">
        <f aca="false">D4/100*N(INDEX(CoFID!$E$2:$E$49,MATCH(E4,CoFID!$A$2:$A$49,0)))</f>
        <v>0.8</v>
      </c>
      <c r="J4" s="11" t="n">
        <f aca="false">D4/100*N(INDEX(CoFID!$F$2:$F$49,MATCH(E4,CoFID!$A$2:$A$49,0)))</f>
        <v>0.1</v>
      </c>
      <c r="K4" s="11" t="n">
        <f aca="false">D4/100*N(INDEX(CoFID!$G$2:$G$49,MATCH(E4,CoFID!$A$2:$A$49,0)))</f>
        <v>1.6</v>
      </c>
      <c r="L4" s="11" t="n">
        <f aca="false">D4/100*N(INDEX(CoFID!$H$2:$H$49,MATCH(E4,CoFID!$A$2:$A$49,0)))</f>
        <v>1.5</v>
      </c>
      <c r="M4" s="11" t="n">
        <f aca="false">D4/100*N(INDEX(CoFID!$I$2:$I$49,MATCH(E4,CoFID!$A$2:$A$49,0)))</f>
        <v>2.1</v>
      </c>
      <c r="N4" s="11" t="n">
        <f aca="false">D4/100*N(INDEX(CoFID!$J$2:$J$49,MATCH(E4,CoFID!$A$2:$A$49,0)))</f>
        <v>0.35</v>
      </c>
    </row>
    <row r="5" customFormat="false" ht="15" hidden="false" customHeight="false" outlineLevel="0" collapsed="false">
      <c r="A5" s="2" t="s">
        <v>25</v>
      </c>
      <c r="B5" s="5" t="n">
        <v>2</v>
      </c>
      <c r="C5" s="5" t="s">
        <v>162</v>
      </c>
      <c r="D5" s="5" t="n">
        <v>15</v>
      </c>
      <c r="E5" s="5" t="s">
        <v>85</v>
      </c>
      <c r="F5" s="10" t="str">
        <f aca="false">INDEX(CoFID!$B$2:$B$49,MATCH(E5,CoFID!$A$2:$A$49,0))</f>
        <v>Garlic, raw</v>
      </c>
      <c r="G5" s="11" t="n">
        <f aca="false">D5/100*N(INDEX(CoFID!$C$2:$C$49,MATCH(E5,CoFID!$A$2:$A$49,0)))</f>
        <v>14.7</v>
      </c>
      <c r="H5" s="11" t="n">
        <f aca="false">D5/100*N(INDEX(CoFID!$D$2:$D$49,MATCH(E5,CoFID!$A$2:$A$49,0)))</f>
        <v>1.185</v>
      </c>
      <c r="I5" s="11" t="n">
        <f aca="false">D5/100*N(INDEX(CoFID!$E$2:$E$49,MATCH(E5,CoFID!$A$2:$A$49,0)))</f>
        <v>0.09</v>
      </c>
      <c r="J5" s="11" t="n">
        <f aca="false">D5/100*N(INDEX(CoFID!$F$2:$F$49,MATCH(E5,CoFID!$A$2:$A$49,0)))</f>
        <v>0.015</v>
      </c>
      <c r="K5" s="11" t="n">
        <f aca="false">D5/100*N(INDEX(CoFID!$G$2:$G$49,MATCH(E5,CoFID!$A$2:$A$49,0)))</f>
        <v>2.445</v>
      </c>
      <c r="L5" s="11" t="n">
        <f aca="false">D5/100*N(INDEX(CoFID!$H$2:$H$49,MATCH(E5,CoFID!$A$2:$A$49,0)))</f>
        <v>0.24</v>
      </c>
      <c r="M5" s="11" t="n">
        <f aca="false">D5/100*N(INDEX(CoFID!$I$2:$I$49,MATCH(E5,CoFID!$A$2:$A$49,0)))</f>
        <v>0.615</v>
      </c>
      <c r="N5" s="11" t="n">
        <f aca="false">D5/100*N(INDEX(CoFID!$J$2:$J$49,MATCH(E5,CoFID!$A$2:$A$49,0)))</f>
        <v>0.0015</v>
      </c>
    </row>
    <row r="6" customFormat="false" ht="15" hidden="false" customHeight="false" outlineLevel="0" collapsed="false">
      <c r="A6" s="2" t="s">
        <v>25</v>
      </c>
      <c r="B6" s="5" t="n">
        <v>2</v>
      </c>
      <c r="C6" s="5" t="s">
        <v>163</v>
      </c>
      <c r="D6" s="5" t="n">
        <v>15</v>
      </c>
      <c r="E6" s="5" t="s">
        <v>135</v>
      </c>
      <c r="F6" s="10" t="str">
        <f aca="false">INDEX(CoFID!$B$2:$B$49,MATCH(E6,CoFID!$A$2:$A$49,0))</f>
        <v>Oil, olive</v>
      </c>
      <c r="G6" s="11" t="n">
        <f aca="false">D6/100*N(INDEX(CoFID!$C$2:$C$49,MATCH(E6,CoFID!$A$2:$A$49,0)))</f>
        <v>134.85</v>
      </c>
      <c r="H6" s="11" t="n">
        <f aca="false">D6/100*N(INDEX(CoFID!$D$2:$D$49,MATCH(E6,CoFID!$A$2:$A$49,0)))</f>
        <v>0</v>
      </c>
      <c r="I6" s="11" t="n">
        <f aca="false">D6/100*N(INDEX(CoFID!$E$2:$E$49,MATCH(E6,CoFID!$A$2:$A$49,0)))</f>
        <v>14.985</v>
      </c>
      <c r="J6" s="11" t="n">
        <f aca="false">D6/100*N(INDEX(CoFID!$F$2:$F$49,MATCH(E6,CoFID!$A$2:$A$49,0)))</f>
        <v>2.145</v>
      </c>
      <c r="K6" s="11" t="n">
        <f aca="false">D6/100*N(INDEX(CoFID!$G$2:$G$49,MATCH(E6,CoFID!$A$2:$A$49,0)))</f>
        <v>0</v>
      </c>
      <c r="L6" s="11" t="n">
        <f aca="false">D6/100*N(INDEX(CoFID!$H$2:$H$49,MATCH(E6,CoFID!$A$2:$A$49,0)))</f>
        <v>0</v>
      </c>
      <c r="M6" s="11" t="n">
        <f aca="false">D6/100*N(INDEX(CoFID!$I$2:$I$49,MATCH(E6,CoFID!$A$2:$A$49,0)))</f>
        <v>0</v>
      </c>
      <c r="N6" s="11" t="n">
        <f aca="false">D6/100*N(INDEX(CoFID!$J$2:$J$49,MATCH(E6,CoFID!$A$2:$A$49,0)))</f>
        <v>0</v>
      </c>
    </row>
    <row r="7" customFormat="false" ht="15" hidden="false" customHeight="false" outlineLevel="0" collapsed="false">
      <c r="A7" s="2" t="s">
        <v>25</v>
      </c>
      <c r="B7" s="5" t="n">
        <v>2</v>
      </c>
      <c r="C7" s="5" t="s">
        <v>164</v>
      </c>
      <c r="D7" s="5" t="n">
        <v>5</v>
      </c>
      <c r="E7" s="5" t="s">
        <v>115</v>
      </c>
      <c r="F7" s="10" t="str">
        <f aca="false">INDEX(CoFID!$B$2:$B$49,MATCH(E7,CoFID!$A$2:$A$49,0))</f>
        <v>Garam masala</v>
      </c>
      <c r="G7" s="11" t="n">
        <f aca="false">D7/100*N(INDEX(CoFID!$C$2:$C$49,MATCH(E7,CoFID!$A$2:$A$49,0)))</f>
        <v>18.95</v>
      </c>
      <c r="H7" s="11" t="n">
        <f aca="false">D7/100*N(INDEX(CoFID!$D$2:$D$49,MATCH(E7,CoFID!$A$2:$A$49,0)))</f>
        <v>0.78</v>
      </c>
      <c r="I7" s="11" t="n">
        <f aca="false">D7/100*N(INDEX(CoFID!$E$2:$E$49,MATCH(E7,CoFID!$A$2:$A$49,0)))</f>
        <v>0.755</v>
      </c>
      <c r="J7" s="11" t="n">
        <f aca="false">D7/100*N(INDEX(CoFID!$F$2:$F$49,MATCH(E7,CoFID!$A$2:$A$49,0)))</f>
        <v>0</v>
      </c>
      <c r="K7" s="11" t="n">
        <f aca="false">D7/100*N(INDEX(CoFID!$G$2:$G$49,MATCH(E7,CoFID!$A$2:$A$49,0)))</f>
        <v>2.26</v>
      </c>
      <c r="L7" s="11" t="n">
        <f aca="false">D7/100*N(INDEX(CoFID!$H$2:$H$49,MATCH(E7,CoFID!$A$2:$A$49,0)))</f>
        <v>0</v>
      </c>
      <c r="M7" s="11" t="n">
        <f aca="false">D7/100*N(INDEX(CoFID!$I$2:$I$49,MATCH(E7,CoFID!$A$2:$A$49,0)))</f>
        <v>0</v>
      </c>
      <c r="N7" s="11" t="n">
        <f aca="false">D7/100*N(INDEX(CoFID!$J$2:$J$49,MATCH(E7,CoFID!$A$2:$A$49,0)))</f>
        <v>0.0121</v>
      </c>
    </row>
    <row r="8" customFormat="false" ht="15" hidden="false" customHeight="false" outlineLevel="0" collapsed="false">
      <c r="A8" s="2" t="s">
        <v>25</v>
      </c>
      <c r="B8" s="5" t="n">
        <v>2</v>
      </c>
      <c r="C8" s="5" t="s">
        <v>165</v>
      </c>
      <c r="D8" s="5" t="n">
        <v>2</v>
      </c>
      <c r="E8" s="5" t="s">
        <v>141</v>
      </c>
      <c r="F8" s="10" t="str">
        <f aca="false">INDEX(CoFID!$B$2:$B$49,MATCH(E8,CoFID!$A$2:$A$49,0))</f>
        <v>Salt</v>
      </c>
      <c r="G8" s="11" t="n">
        <f aca="false">D8/100*N(INDEX(CoFID!$C$2:$C$49,MATCH(E8,CoFID!$A$2:$A$49,0)))</f>
        <v>0</v>
      </c>
      <c r="H8" s="11" t="n">
        <f aca="false">D8/100*N(INDEX(CoFID!$D$2:$D$49,MATCH(E8,CoFID!$A$2:$A$49,0)))</f>
        <v>0</v>
      </c>
      <c r="I8" s="11" t="n">
        <f aca="false">D8/100*N(INDEX(CoFID!$E$2:$E$49,MATCH(E8,CoFID!$A$2:$A$49,0)))</f>
        <v>0</v>
      </c>
      <c r="J8" s="11" t="n">
        <f aca="false">D8/100*N(INDEX(CoFID!$F$2:$F$49,MATCH(E8,CoFID!$A$2:$A$49,0)))</f>
        <v>0</v>
      </c>
      <c r="K8" s="11" t="n">
        <f aca="false">D8/100*N(INDEX(CoFID!$G$2:$G$49,MATCH(E8,CoFID!$A$2:$A$49,0)))</f>
        <v>0</v>
      </c>
      <c r="L8" s="11" t="n">
        <f aca="false">D8/100*N(INDEX(CoFID!$H$2:$H$49,MATCH(E8,CoFID!$A$2:$A$49,0)))</f>
        <v>0</v>
      </c>
      <c r="M8" s="11" t="n">
        <f aca="false">D8/100*N(INDEX(CoFID!$I$2:$I$49,MATCH(E8,CoFID!$A$2:$A$49,0)))</f>
        <v>0</v>
      </c>
      <c r="N8" s="11" t="n">
        <f aca="false">D8/100*N(INDEX(CoFID!$J$2:$J$49,MATCH(E8,CoFID!$A$2:$A$49,0)))</f>
        <v>1.965</v>
      </c>
    </row>
    <row r="9" customFormat="false" ht="15" hidden="false" customHeight="false" outlineLevel="0" collapsed="false">
      <c r="A9" s="2" t="s">
        <v>29</v>
      </c>
      <c r="B9" s="5" t="n">
        <v>4</v>
      </c>
      <c r="C9" s="5" t="s">
        <v>166</v>
      </c>
      <c r="D9" s="5" t="n">
        <v>500</v>
      </c>
      <c r="E9" s="5" t="s">
        <v>155</v>
      </c>
      <c r="F9" s="10" t="str">
        <f aca="false">INDEX(CoFID!$B$2:$B$49,MATCH(E9,CoFID!$A$2:$A$49,0))</f>
        <v>Beef, mince, raw</v>
      </c>
      <c r="G9" s="11" t="n">
        <f aca="false">D9/100*N(INDEX(CoFID!$C$2:$C$49,MATCH(E9,CoFID!$A$2:$A$49,0)))</f>
        <v>1125</v>
      </c>
      <c r="H9" s="11" t="n">
        <f aca="false">D9/100*N(INDEX(CoFID!$D$2:$D$49,MATCH(E9,CoFID!$A$2:$A$49,0)))</f>
        <v>98.5</v>
      </c>
      <c r="I9" s="11" t="n">
        <f aca="false">D9/100*N(INDEX(CoFID!$E$2:$E$49,MATCH(E9,CoFID!$A$2:$A$49,0)))</f>
        <v>81</v>
      </c>
      <c r="J9" s="11" t="n">
        <f aca="false">D9/100*N(INDEX(CoFID!$F$2:$F$49,MATCH(E9,CoFID!$A$2:$A$49,0)))</f>
        <v>34.7</v>
      </c>
      <c r="K9" s="11" t="n">
        <f aca="false">D9/100*N(INDEX(CoFID!$G$2:$G$49,MATCH(E9,CoFID!$A$2:$A$49,0)))</f>
        <v>0</v>
      </c>
      <c r="L9" s="11" t="n">
        <f aca="false">D9/100*N(INDEX(CoFID!$H$2:$H$49,MATCH(E9,CoFID!$A$2:$A$49,0)))</f>
        <v>0</v>
      </c>
      <c r="M9" s="11" t="n">
        <f aca="false">D9/100*N(INDEX(CoFID!$I$2:$I$49,MATCH(E9,CoFID!$A$2:$A$49,0)))</f>
        <v>0</v>
      </c>
      <c r="N9" s="11" t="n">
        <f aca="false">D9/100*N(INDEX(CoFID!$J$2:$J$49,MATCH(E9,CoFID!$A$2:$A$49,0)))</f>
        <v>1</v>
      </c>
    </row>
    <row r="10" customFormat="false" ht="15" hidden="false" customHeight="false" outlineLevel="0" collapsed="false">
      <c r="A10" s="2" t="s">
        <v>29</v>
      </c>
      <c r="B10" s="5" t="n">
        <v>4</v>
      </c>
      <c r="C10" s="5" t="s">
        <v>167</v>
      </c>
      <c r="D10" s="5" t="n">
        <v>400</v>
      </c>
      <c r="E10" s="5" t="s">
        <v>61</v>
      </c>
      <c r="F10" s="10" t="str">
        <f aca="false">INDEX(CoFID!$B$2:$B$49,MATCH(E10,CoFID!$A$2:$A$49,0))</f>
        <v>Pasta, white, dried, raw</v>
      </c>
      <c r="G10" s="11" t="n">
        <f aca="false">D10/100*N(INDEX(CoFID!$C$2:$C$49,MATCH(E10,CoFID!$A$2:$A$49,0)))</f>
        <v>1372</v>
      </c>
      <c r="H10" s="11" t="n">
        <f aca="false">D10/100*N(INDEX(CoFID!$D$2:$D$49,MATCH(E10,CoFID!$A$2:$A$49,0)))</f>
        <v>45.2</v>
      </c>
      <c r="I10" s="11" t="n">
        <f aca="false">D10/100*N(INDEX(CoFID!$E$2:$E$49,MATCH(E10,CoFID!$A$2:$A$49,0)))</f>
        <v>6.4</v>
      </c>
      <c r="J10" s="11" t="n">
        <f aca="false">D10/100*N(INDEX(CoFID!$F$2:$F$49,MATCH(E10,CoFID!$A$2:$A$49,0)))</f>
        <v>0.92</v>
      </c>
      <c r="K10" s="11" t="n">
        <f aca="false">D10/100*N(INDEX(CoFID!$G$2:$G$49,MATCH(E10,CoFID!$A$2:$A$49,0)))</f>
        <v>302.4</v>
      </c>
      <c r="L10" s="11" t="n">
        <f aca="false">D10/100*N(INDEX(CoFID!$H$2:$H$49,MATCH(E10,CoFID!$A$2:$A$49,0)))</f>
        <v>8.4</v>
      </c>
      <c r="M10" s="11" t="n">
        <f aca="false">D10/100*N(INDEX(CoFID!$I$2:$I$49,MATCH(E10,CoFID!$A$2:$A$49,0)))</f>
        <v>14.8</v>
      </c>
      <c r="N10" s="11" t="n">
        <f aca="false">D10/100*N(INDEX(CoFID!$J$2:$J$49,MATCH(E10,CoFID!$A$2:$A$49,0)))</f>
        <v>0.02</v>
      </c>
    </row>
    <row r="11" customFormat="false" ht="15" hidden="false" customHeight="false" outlineLevel="0" collapsed="false">
      <c r="A11" s="2" t="s">
        <v>29</v>
      </c>
      <c r="B11" s="5" t="n">
        <v>4</v>
      </c>
      <c r="C11" s="5" t="s">
        <v>168</v>
      </c>
      <c r="D11" s="5" t="n">
        <v>400</v>
      </c>
      <c r="E11" s="5" t="s">
        <v>101</v>
      </c>
      <c r="F11" s="10" t="str">
        <f aca="false">INDEX(CoFID!$B$2:$B$49,MATCH(E11,CoFID!$A$2:$A$49,0))</f>
        <v>Tomatoes, canned, whole contents</v>
      </c>
      <c r="G11" s="11" t="n">
        <f aca="false">D11/100*N(INDEX(CoFID!$C$2:$C$49,MATCH(E11,CoFID!$A$2:$A$49,0)))</f>
        <v>76</v>
      </c>
      <c r="H11" s="11" t="n">
        <f aca="false">D11/100*N(INDEX(CoFID!$D$2:$D$49,MATCH(E11,CoFID!$A$2:$A$49,0)))</f>
        <v>4.4</v>
      </c>
      <c r="I11" s="11" t="n">
        <f aca="false">D11/100*N(INDEX(CoFID!$E$2:$E$49,MATCH(E11,CoFID!$A$2:$A$49,0)))</f>
        <v>0.4</v>
      </c>
      <c r="J11" s="11" t="n">
        <f aca="false">D11/100*N(INDEX(CoFID!$F$2:$F$49,MATCH(E11,CoFID!$A$2:$A$49,0)))</f>
        <v>0.04</v>
      </c>
      <c r="K11" s="11" t="n">
        <f aca="false">D11/100*N(INDEX(CoFID!$G$2:$G$49,MATCH(E11,CoFID!$A$2:$A$49,0)))</f>
        <v>15.2</v>
      </c>
      <c r="L11" s="11" t="n">
        <f aca="false">D11/100*N(INDEX(CoFID!$H$2:$H$49,MATCH(E11,CoFID!$A$2:$A$49,0)))</f>
        <v>15.2</v>
      </c>
      <c r="M11" s="11" t="n">
        <f aca="false">D11/100*N(INDEX(CoFID!$I$2:$I$49,MATCH(E11,CoFID!$A$2:$A$49,0)))</f>
        <v>3.2</v>
      </c>
      <c r="N11" s="11" t="n">
        <f aca="false">D11/100*N(INDEX(CoFID!$J$2:$J$49,MATCH(E11,CoFID!$A$2:$A$49,0)))</f>
        <v>0.052</v>
      </c>
    </row>
    <row r="12" customFormat="false" ht="15" hidden="false" customHeight="false" outlineLevel="0" collapsed="false">
      <c r="A12" s="2" t="s">
        <v>29</v>
      </c>
      <c r="B12" s="5" t="n">
        <v>4</v>
      </c>
      <c r="C12" s="5" t="s">
        <v>169</v>
      </c>
      <c r="D12" s="5" t="n">
        <v>150</v>
      </c>
      <c r="E12" s="5" t="s">
        <v>91</v>
      </c>
      <c r="F12" s="10" t="str">
        <f aca="false">INDEX(CoFID!$B$2:$B$49,MATCH(E12,CoFID!$A$2:$A$49,0))</f>
        <v>Onions, raw</v>
      </c>
      <c r="G12" s="11" t="n">
        <f aca="false">D12/100*N(INDEX(CoFID!$C$2:$C$49,MATCH(E12,CoFID!$A$2:$A$49,0)))</f>
        <v>52.5</v>
      </c>
      <c r="H12" s="11" t="n">
        <f aca="false">D12/100*N(INDEX(CoFID!$D$2:$D$49,MATCH(E12,CoFID!$A$2:$A$49,0)))</f>
        <v>1.5</v>
      </c>
      <c r="I12" s="11" t="n">
        <f aca="false">D12/100*N(INDEX(CoFID!$E$2:$E$49,MATCH(E12,CoFID!$A$2:$A$49,0)))</f>
        <v>0.15</v>
      </c>
      <c r="J12" s="11" t="n">
        <f aca="false">D12/100*N(INDEX(CoFID!$F$2:$F$49,MATCH(E12,CoFID!$A$2:$A$49,0)))</f>
        <v>0</v>
      </c>
      <c r="K12" s="11" t="n">
        <f aca="false">D12/100*N(INDEX(CoFID!$G$2:$G$49,MATCH(E12,CoFID!$A$2:$A$49,0)))</f>
        <v>12</v>
      </c>
      <c r="L12" s="11" t="n">
        <f aca="false">D12/100*N(INDEX(CoFID!$H$2:$H$49,MATCH(E12,CoFID!$A$2:$A$49,0)))</f>
        <v>9.3</v>
      </c>
      <c r="M12" s="11" t="n">
        <f aca="false">D12/100*N(INDEX(CoFID!$I$2:$I$49,MATCH(E12,CoFID!$A$2:$A$49,0)))</f>
        <v>3.3</v>
      </c>
      <c r="N12" s="11" t="n">
        <f aca="false">D12/100*N(INDEX(CoFID!$J$2:$J$49,MATCH(E12,CoFID!$A$2:$A$49,0)))</f>
        <v>0.0105</v>
      </c>
    </row>
    <row r="13" customFormat="false" ht="15" hidden="false" customHeight="false" outlineLevel="0" collapsed="false">
      <c r="A13" s="2" t="s">
        <v>29</v>
      </c>
      <c r="B13" s="5" t="n">
        <v>4</v>
      </c>
      <c r="C13" s="5" t="s">
        <v>170</v>
      </c>
      <c r="D13" s="5" t="n">
        <v>100</v>
      </c>
      <c r="E13" s="5" t="s">
        <v>89</v>
      </c>
      <c r="F13" s="10" t="str">
        <f aca="false">INDEX(CoFID!$B$2:$B$49,MATCH(E13,CoFID!$A$2:$A$49,0))</f>
        <v>Carrots, old, raw</v>
      </c>
      <c r="G13" s="11" t="n">
        <f aca="false">D13/100*N(INDEX(CoFID!$C$2:$C$49,MATCH(E13,CoFID!$A$2:$A$49,0)))</f>
        <v>34</v>
      </c>
      <c r="H13" s="11" t="n">
        <f aca="false">D13/100*N(INDEX(CoFID!$D$2:$D$49,MATCH(E13,CoFID!$A$2:$A$49,0)))</f>
        <v>0.5</v>
      </c>
      <c r="I13" s="11" t="n">
        <f aca="false">D13/100*N(INDEX(CoFID!$E$2:$E$49,MATCH(E13,CoFID!$A$2:$A$49,0)))</f>
        <v>0.4</v>
      </c>
      <c r="J13" s="11" t="n">
        <f aca="false">D13/100*N(INDEX(CoFID!$F$2:$F$49,MATCH(E13,CoFID!$A$2:$A$49,0)))</f>
        <v>0.1</v>
      </c>
      <c r="K13" s="11" t="n">
        <f aca="false">D13/100*N(INDEX(CoFID!$G$2:$G$49,MATCH(E13,CoFID!$A$2:$A$49,0)))</f>
        <v>7.7</v>
      </c>
      <c r="L13" s="11" t="n">
        <f aca="false">D13/100*N(INDEX(CoFID!$H$2:$H$49,MATCH(E13,CoFID!$A$2:$A$49,0)))</f>
        <v>7.2</v>
      </c>
      <c r="M13" s="11" t="n">
        <f aca="false">D13/100*N(INDEX(CoFID!$I$2:$I$49,MATCH(E13,CoFID!$A$2:$A$49,0)))</f>
        <v>3.9</v>
      </c>
      <c r="N13" s="11" t="n">
        <f aca="false">D13/100*N(INDEX(CoFID!$J$2:$J$49,MATCH(E13,CoFID!$A$2:$A$49,0)))</f>
        <v>0.068</v>
      </c>
    </row>
    <row r="14" customFormat="false" ht="15" hidden="false" customHeight="false" outlineLevel="0" collapsed="false">
      <c r="A14" s="2" t="s">
        <v>29</v>
      </c>
      <c r="B14" s="5" t="n">
        <v>4</v>
      </c>
      <c r="C14" s="5" t="s">
        <v>162</v>
      </c>
      <c r="D14" s="5" t="n">
        <v>10</v>
      </c>
      <c r="E14" s="5" t="s">
        <v>85</v>
      </c>
      <c r="F14" s="10" t="str">
        <f aca="false">INDEX(CoFID!$B$2:$B$49,MATCH(E14,CoFID!$A$2:$A$49,0))</f>
        <v>Garlic, raw</v>
      </c>
      <c r="G14" s="11" t="n">
        <f aca="false">D14/100*N(INDEX(CoFID!$C$2:$C$49,MATCH(E14,CoFID!$A$2:$A$49,0)))</f>
        <v>9.8</v>
      </c>
      <c r="H14" s="11" t="n">
        <f aca="false">D14/100*N(INDEX(CoFID!$D$2:$D$49,MATCH(E14,CoFID!$A$2:$A$49,0)))</f>
        <v>0.79</v>
      </c>
      <c r="I14" s="11" t="n">
        <f aca="false">D14/100*N(INDEX(CoFID!$E$2:$E$49,MATCH(E14,CoFID!$A$2:$A$49,0)))</f>
        <v>0.06</v>
      </c>
      <c r="J14" s="11" t="n">
        <f aca="false">D14/100*N(INDEX(CoFID!$F$2:$F$49,MATCH(E14,CoFID!$A$2:$A$49,0)))</f>
        <v>0.01</v>
      </c>
      <c r="K14" s="11" t="n">
        <f aca="false">D14/100*N(INDEX(CoFID!$G$2:$G$49,MATCH(E14,CoFID!$A$2:$A$49,0)))</f>
        <v>1.63</v>
      </c>
      <c r="L14" s="11" t="n">
        <f aca="false">D14/100*N(INDEX(CoFID!$H$2:$H$49,MATCH(E14,CoFID!$A$2:$A$49,0)))</f>
        <v>0.16</v>
      </c>
      <c r="M14" s="11" t="n">
        <f aca="false">D14/100*N(INDEX(CoFID!$I$2:$I$49,MATCH(E14,CoFID!$A$2:$A$49,0)))</f>
        <v>0.41</v>
      </c>
      <c r="N14" s="11" t="n">
        <f aca="false">D14/100*N(INDEX(CoFID!$J$2:$J$49,MATCH(E14,CoFID!$A$2:$A$49,0)))</f>
        <v>0.001</v>
      </c>
    </row>
    <row r="15" customFormat="false" ht="15" hidden="false" customHeight="false" outlineLevel="0" collapsed="false">
      <c r="A15" s="2" t="s">
        <v>29</v>
      </c>
      <c r="B15" s="5" t="n">
        <v>4</v>
      </c>
      <c r="C15" s="5" t="s">
        <v>163</v>
      </c>
      <c r="D15" s="5" t="n">
        <v>15</v>
      </c>
      <c r="E15" s="5" t="s">
        <v>135</v>
      </c>
      <c r="F15" s="10" t="str">
        <f aca="false">INDEX(CoFID!$B$2:$B$49,MATCH(E15,CoFID!$A$2:$A$49,0))</f>
        <v>Oil, olive</v>
      </c>
      <c r="G15" s="11" t="n">
        <f aca="false">D15/100*N(INDEX(CoFID!$C$2:$C$49,MATCH(E15,CoFID!$A$2:$A$49,0)))</f>
        <v>134.85</v>
      </c>
      <c r="H15" s="11" t="n">
        <f aca="false">D15/100*N(INDEX(CoFID!$D$2:$D$49,MATCH(E15,CoFID!$A$2:$A$49,0)))</f>
        <v>0</v>
      </c>
      <c r="I15" s="11" t="n">
        <f aca="false">D15/100*N(INDEX(CoFID!$E$2:$E$49,MATCH(E15,CoFID!$A$2:$A$49,0)))</f>
        <v>14.985</v>
      </c>
      <c r="J15" s="11" t="n">
        <f aca="false">D15/100*N(INDEX(CoFID!$F$2:$F$49,MATCH(E15,CoFID!$A$2:$A$49,0)))</f>
        <v>2.145</v>
      </c>
      <c r="K15" s="11" t="n">
        <f aca="false">D15/100*N(INDEX(CoFID!$G$2:$G$49,MATCH(E15,CoFID!$A$2:$A$49,0)))</f>
        <v>0</v>
      </c>
      <c r="L15" s="11" t="n">
        <f aca="false">D15/100*N(INDEX(CoFID!$H$2:$H$49,MATCH(E15,CoFID!$A$2:$A$49,0)))</f>
        <v>0</v>
      </c>
      <c r="M15" s="11" t="n">
        <f aca="false">D15/100*N(INDEX(CoFID!$I$2:$I$49,MATCH(E15,CoFID!$A$2:$A$49,0)))</f>
        <v>0</v>
      </c>
      <c r="N15" s="11" t="n">
        <f aca="false">D15/100*N(INDEX(CoFID!$J$2:$J$49,MATCH(E15,CoFID!$A$2:$A$49,0)))</f>
        <v>0</v>
      </c>
    </row>
    <row r="16" customFormat="false" ht="15" hidden="false" customHeight="false" outlineLevel="0" collapsed="false">
      <c r="A16" s="2" t="s">
        <v>29</v>
      </c>
      <c r="B16" s="5" t="n">
        <v>4</v>
      </c>
      <c r="C16" s="5" t="s">
        <v>171</v>
      </c>
      <c r="D16" s="5" t="n">
        <v>30</v>
      </c>
      <c r="E16" s="5" t="s">
        <v>81</v>
      </c>
      <c r="F16" s="10" t="str">
        <f aca="false">INDEX(CoFID!$B$2:$B$49,MATCH(E16,CoFID!$A$2:$A$49,0))</f>
        <v>Cheese, Parmesan, fresh</v>
      </c>
      <c r="G16" s="11" t="n">
        <f aca="false">D16/100*N(INDEX(CoFID!$C$2:$C$49,MATCH(E16,CoFID!$A$2:$A$49,0)))</f>
        <v>124.5</v>
      </c>
      <c r="H16" s="11" t="n">
        <f aca="false">D16/100*N(INDEX(CoFID!$D$2:$D$49,MATCH(E16,CoFID!$A$2:$A$49,0)))</f>
        <v>10.86</v>
      </c>
      <c r="I16" s="11" t="n">
        <f aca="false">D16/100*N(INDEX(CoFID!$E$2:$E$49,MATCH(E16,CoFID!$A$2:$A$49,0)))</f>
        <v>8.91</v>
      </c>
      <c r="J16" s="11" t="n">
        <f aca="false">D16/100*N(INDEX(CoFID!$F$2:$F$49,MATCH(E16,CoFID!$A$2:$A$49,0)))</f>
        <v>5.775</v>
      </c>
      <c r="K16" s="11" t="n">
        <f aca="false">D16/100*N(INDEX(CoFID!$G$2:$G$49,MATCH(E16,CoFID!$A$2:$A$49,0)))</f>
        <v>0.27</v>
      </c>
      <c r="L16" s="11" t="n">
        <f aca="false">D16/100*N(INDEX(CoFID!$H$2:$H$49,MATCH(E16,CoFID!$A$2:$A$49,0)))</f>
        <v>0.27</v>
      </c>
      <c r="M16" s="11" t="n">
        <f aca="false">D16/100*N(INDEX(CoFID!$I$2:$I$49,MATCH(E16,CoFID!$A$2:$A$49,0)))</f>
        <v>0</v>
      </c>
      <c r="N16" s="11" t="n">
        <f aca="false">D16/100*N(INDEX(CoFID!$J$2:$J$49,MATCH(E16,CoFID!$A$2:$A$49,0)))</f>
        <v>0.495</v>
      </c>
    </row>
    <row r="17" customFormat="false" ht="15" hidden="false" customHeight="false" outlineLevel="0" collapsed="false">
      <c r="A17" s="2" t="s">
        <v>29</v>
      </c>
      <c r="B17" s="5" t="n">
        <v>4</v>
      </c>
      <c r="C17" s="5" t="s">
        <v>172</v>
      </c>
      <c r="D17" s="5" t="n">
        <v>30</v>
      </c>
      <c r="E17" s="5" t="s">
        <v>103</v>
      </c>
      <c r="F17" s="10" t="str">
        <f aca="false">INDEX(CoFID!$B$2:$B$49,MATCH(E17,CoFID!$A$2:$A$49,0))</f>
        <v>Tomato puree</v>
      </c>
      <c r="G17" s="11" t="n">
        <f aca="false">D17/100*N(INDEX(CoFID!$C$2:$C$49,MATCH(E17,CoFID!$A$2:$A$49,0)))</f>
        <v>20.1</v>
      </c>
      <c r="H17" s="11" t="n">
        <f aca="false">D17/100*N(INDEX(CoFID!$D$2:$D$49,MATCH(E17,CoFID!$A$2:$A$49,0)))</f>
        <v>1.32</v>
      </c>
      <c r="I17" s="11" t="n">
        <f aca="false">D17/100*N(INDEX(CoFID!$E$2:$E$49,MATCH(E17,CoFID!$A$2:$A$49,0)))</f>
        <v>0.06</v>
      </c>
      <c r="J17" s="11" t="n">
        <f aca="false">D17/100*N(INDEX(CoFID!$F$2:$F$49,MATCH(E17,CoFID!$A$2:$A$49,0)))</f>
        <v>0.012</v>
      </c>
      <c r="K17" s="11" t="n">
        <f aca="false">D17/100*N(INDEX(CoFID!$G$2:$G$49,MATCH(E17,CoFID!$A$2:$A$49,0)))</f>
        <v>3.87</v>
      </c>
      <c r="L17" s="11" t="n">
        <f aca="false">D17/100*N(INDEX(CoFID!$H$2:$H$49,MATCH(E17,CoFID!$A$2:$A$49,0)))</f>
        <v>3.87</v>
      </c>
      <c r="M17" s="11" t="n">
        <f aca="false">D17/100*N(INDEX(CoFID!$I$2:$I$49,MATCH(E17,CoFID!$A$2:$A$49,0)))</f>
        <v>1.41</v>
      </c>
      <c r="N17" s="11" t="n">
        <f aca="false">D17/100*N(INDEX(CoFID!$J$2:$J$49,MATCH(E17,CoFID!$A$2:$A$49,0)))</f>
        <v>0.0366</v>
      </c>
    </row>
    <row r="18" customFormat="false" ht="15" hidden="false" customHeight="false" outlineLevel="0" collapsed="false">
      <c r="A18" s="2" t="s">
        <v>32</v>
      </c>
      <c r="B18" s="5" t="n">
        <v>4</v>
      </c>
      <c r="C18" s="5" t="s">
        <v>173</v>
      </c>
      <c r="D18" s="5" t="n">
        <v>480</v>
      </c>
      <c r="E18" s="5" t="s">
        <v>113</v>
      </c>
      <c r="F18" s="10" t="str">
        <f aca="false">INDEX(CoFID!$B$2:$B$49,MATCH(E18,CoFID!$A$2:$A$49,0))</f>
        <v>Beans, chick peas, canned, re-heated, drained</v>
      </c>
      <c r="G18" s="11" t="n">
        <f aca="false">D18/100*N(INDEX(CoFID!$C$2:$C$49,MATCH(E18,CoFID!$A$2:$A$49,0)))</f>
        <v>619.2</v>
      </c>
      <c r="H18" s="11" t="n">
        <f aca="false">D18/100*N(INDEX(CoFID!$D$2:$D$49,MATCH(E18,CoFID!$A$2:$A$49,0)))</f>
        <v>40.32</v>
      </c>
      <c r="I18" s="11" t="n">
        <f aca="false">D18/100*N(INDEX(CoFID!$E$2:$E$49,MATCH(E18,CoFID!$A$2:$A$49,0)))</f>
        <v>14.4</v>
      </c>
      <c r="J18" s="11" t="n">
        <f aca="false">D18/100*N(INDEX(CoFID!$F$2:$F$49,MATCH(E18,CoFID!$A$2:$A$49,0)))</f>
        <v>1.392</v>
      </c>
      <c r="K18" s="11" t="n">
        <f aca="false">D18/100*N(INDEX(CoFID!$G$2:$G$49,MATCH(E18,CoFID!$A$2:$A$49,0)))</f>
        <v>87.84</v>
      </c>
      <c r="L18" s="11" t="n">
        <f aca="false">D18/100*N(INDEX(CoFID!$H$2:$H$49,MATCH(E18,CoFID!$A$2:$A$49,0)))</f>
        <v>3.36</v>
      </c>
      <c r="M18" s="11" t="n">
        <f aca="false">D18/100*N(INDEX(CoFID!$I$2:$I$49,MATCH(E18,CoFID!$A$2:$A$49,0)))</f>
        <v>34.08</v>
      </c>
      <c r="N18" s="11" t="n">
        <f aca="false">D18/100*N(INDEX(CoFID!$J$2:$J$49,MATCH(E18,CoFID!$A$2:$A$49,0)))</f>
        <v>0.0144</v>
      </c>
    </row>
    <row r="19" customFormat="false" ht="15" hidden="false" customHeight="false" outlineLevel="0" collapsed="false">
      <c r="A19" s="2" t="s">
        <v>32</v>
      </c>
      <c r="B19" s="5" t="n">
        <v>4</v>
      </c>
      <c r="C19" s="5" t="s">
        <v>174</v>
      </c>
      <c r="D19" s="5" t="n">
        <v>400</v>
      </c>
      <c r="E19" s="5" t="s">
        <v>129</v>
      </c>
      <c r="F19" s="10" t="str">
        <f aca="false">INDEX(CoFID!$B$2:$B$49,MATCH(E19,CoFID!$A$2:$A$49,0))</f>
        <v>Coconut milk, retail</v>
      </c>
      <c r="G19" s="11" t="n">
        <f aca="false">D19/100*N(INDEX(CoFID!$C$2:$C$49,MATCH(E19,CoFID!$A$2:$A$49,0)))</f>
        <v>676</v>
      </c>
      <c r="H19" s="11" t="n">
        <f aca="false">D19/100*N(INDEX(CoFID!$D$2:$D$49,MATCH(E19,CoFID!$A$2:$A$49,0)))</f>
        <v>4.4</v>
      </c>
      <c r="I19" s="11" t="n">
        <f aca="false">D19/100*N(INDEX(CoFID!$E$2:$E$49,MATCH(E19,CoFID!$A$2:$A$49,0)))</f>
        <v>67.6</v>
      </c>
      <c r="J19" s="11" t="n">
        <f aca="false">D19/100*N(INDEX(CoFID!$F$2:$F$49,MATCH(E19,CoFID!$A$2:$A$49,0)))</f>
        <v>58.56</v>
      </c>
      <c r="K19" s="11" t="n">
        <f aca="false">D19/100*N(INDEX(CoFID!$G$2:$G$49,MATCH(E19,CoFID!$A$2:$A$49,0)))</f>
        <v>13.2</v>
      </c>
      <c r="L19" s="11" t="n">
        <f aca="false">D19/100*N(INDEX(CoFID!$H$2:$H$49,MATCH(E19,CoFID!$A$2:$A$49,0)))</f>
        <v>8</v>
      </c>
      <c r="M19" s="11" t="n">
        <f aca="false">D19/100*N(INDEX(CoFID!$I$2:$I$49,MATCH(E19,CoFID!$A$2:$A$49,0)))</f>
        <v>1.6</v>
      </c>
      <c r="N19" s="11" t="n">
        <f aca="false">D19/100*N(INDEX(CoFID!$J$2:$J$49,MATCH(E19,CoFID!$A$2:$A$49,0)))</f>
        <v>0</v>
      </c>
    </row>
    <row r="20" customFormat="false" ht="15" hidden="false" customHeight="false" outlineLevel="0" collapsed="false">
      <c r="A20" s="2" t="s">
        <v>32</v>
      </c>
      <c r="B20" s="5" t="n">
        <v>4</v>
      </c>
      <c r="C20" s="5" t="s">
        <v>169</v>
      </c>
      <c r="D20" s="5" t="n">
        <v>150</v>
      </c>
      <c r="E20" s="5" t="s">
        <v>91</v>
      </c>
      <c r="F20" s="10" t="str">
        <f aca="false">INDEX(CoFID!$B$2:$B$49,MATCH(E20,CoFID!$A$2:$A$49,0))</f>
        <v>Onions, raw</v>
      </c>
      <c r="G20" s="11" t="n">
        <f aca="false">D20/100*N(INDEX(CoFID!$C$2:$C$49,MATCH(E20,CoFID!$A$2:$A$49,0)))</f>
        <v>52.5</v>
      </c>
      <c r="H20" s="11" t="n">
        <f aca="false">D20/100*N(INDEX(CoFID!$D$2:$D$49,MATCH(E20,CoFID!$A$2:$A$49,0)))</f>
        <v>1.5</v>
      </c>
      <c r="I20" s="11" t="n">
        <f aca="false">D20/100*N(INDEX(CoFID!$E$2:$E$49,MATCH(E20,CoFID!$A$2:$A$49,0)))</f>
        <v>0.15</v>
      </c>
      <c r="J20" s="11" t="n">
        <f aca="false">D20/100*N(INDEX(CoFID!$F$2:$F$49,MATCH(E20,CoFID!$A$2:$A$49,0)))</f>
        <v>0</v>
      </c>
      <c r="K20" s="11" t="n">
        <f aca="false">D20/100*N(INDEX(CoFID!$G$2:$G$49,MATCH(E20,CoFID!$A$2:$A$49,0)))</f>
        <v>12</v>
      </c>
      <c r="L20" s="11" t="n">
        <f aca="false">D20/100*N(INDEX(CoFID!$H$2:$H$49,MATCH(E20,CoFID!$A$2:$A$49,0)))</f>
        <v>9.3</v>
      </c>
      <c r="M20" s="11" t="n">
        <f aca="false">D20/100*N(INDEX(CoFID!$I$2:$I$49,MATCH(E20,CoFID!$A$2:$A$49,0)))</f>
        <v>3.3</v>
      </c>
      <c r="N20" s="11" t="n">
        <f aca="false">D20/100*N(INDEX(CoFID!$J$2:$J$49,MATCH(E20,CoFID!$A$2:$A$49,0)))</f>
        <v>0.0105</v>
      </c>
    </row>
    <row r="21" customFormat="false" ht="15" hidden="false" customHeight="false" outlineLevel="0" collapsed="false">
      <c r="A21" s="2" t="s">
        <v>32</v>
      </c>
      <c r="B21" s="5" t="n">
        <v>4</v>
      </c>
      <c r="C21" s="5" t="s">
        <v>168</v>
      </c>
      <c r="D21" s="5" t="n">
        <v>400</v>
      </c>
      <c r="E21" s="5" t="s">
        <v>101</v>
      </c>
      <c r="F21" s="10" t="str">
        <f aca="false">INDEX(CoFID!$B$2:$B$49,MATCH(E21,CoFID!$A$2:$A$49,0))</f>
        <v>Tomatoes, canned, whole contents</v>
      </c>
      <c r="G21" s="11" t="n">
        <f aca="false">D21/100*N(INDEX(CoFID!$C$2:$C$49,MATCH(E21,CoFID!$A$2:$A$49,0)))</f>
        <v>76</v>
      </c>
      <c r="H21" s="11" t="n">
        <f aca="false">D21/100*N(INDEX(CoFID!$D$2:$D$49,MATCH(E21,CoFID!$A$2:$A$49,0)))</f>
        <v>4.4</v>
      </c>
      <c r="I21" s="11" t="n">
        <f aca="false">D21/100*N(INDEX(CoFID!$E$2:$E$49,MATCH(E21,CoFID!$A$2:$A$49,0)))</f>
        <v>0.4</v>
      </c>
      <c r="J21" s="11" t="n">
        <f aca="false">D21/100*N(INDEX(CoFID!$F$2:$F$49,MATCH(E21,CoFID!$A$2:$A$49,0)))</f>
        <v>0.04</v>
      </c>
      <c r="K21" s="11" t="n">
        <f aca="false">D21/100*N(INDEX(CoFID!$G$2:$G$49,MATCH(E21,CoFID!$A$2:$A$49,0)))</f>
        <v>15.2</v>
      </c>
      <c r="L21" s="11" t="n">
        <f aca="false">D21/100*N(INDEX(CoFID!$H$2:$H$49,MATCH(E21,CoFID!$A$2:$A$49,0)))</f>
        <v>15.2</v>
      </c>
      <c r="M21" s="11" t="n">
        <f aca="false">D21/100*N(INDEX(CoFID!$I$2:$I$49,MATCH(E21,CoFID!$A$2:$A$49,0)))</f>
        <v>3.2</v>
      </c>
      <c r="N21" s="11" t="n">
        <f aca="false">D21/100*N(INDEX(CoFID!$J$2:$J$49,MATCH(E21,CoFID!$A$2:$A$49,0)))</f>
        <v>0.052</v>
      </c>
    </row>
    <row r="22" customFormat="false" ht="15" hidden="false" customHeight="false" outlineLevel="0" collapsed="false">
      <c r="A22" s="2" t="s">
        <v>32</v>
      </c>
      <c r="B22" s="5" t="n">
        <v>4</v>
      </c>
      <c r="C22" s="5" t="s">
        <v>162</v>
      </c>
      <c r="D22" s="5" t="n">
        <v>10</v>
      </c>
      <c r="E22" s="5" t="s">
        <v>85</v>
      </c>
      <c r="F22" s="10" t="str">
        <f aca="false">INDEX(CoFID!$B$2:$B$49,MATCH(E22,CoFID!$A$2:$A$49,0))</f>
        <v>Garlic, raw</v>
      </c>
      <c r="G22" s="11" t="n">
        <f aca="false">D22/100*N(INDEX(CoFID!$C$2:$C$49,MATCH(E22,CoFID!$A$2:$A$49,0)))</f>
        <v>9.8</v>
      </c>
      <c r="H22" s="11" t="n">
        <f aca="false">D22/100*N(INDEX(CoFID!$D$2:$D$49,MATCH(E22,CoFID!$A$2:$A$49,0)))</f>
        <v>0.79</v>
      </c>
      <c r="I22" s="11" t="n">
        <f aca="false">D22/100*N(INDEX(CoFID!$E$2:$E$49,MATCH(E22,CoFID!$A$2:$A$49,0)))</f>
        <v>0.06</v>
      </c>
      <c r="J22" s="11" t="n">
        <f aca="false">D22/100*N(INDEX(CoFID!$F$2:$F$49,MATCH(E22,CoFID!$A$2:$A$49,0)))</f>
        <v>0.01</v>
      </c>
      <c r="K22" s="11" t="n">
        <f aca="false">D22/100*N(INDEX(CoFID!$G$2:$G$49,MATCH(E22,CoFID!$A$2:$A$49,0)))</f>
        <v>1.63</v>
      </c>
      <c r="L22" s="11" t="n">
        <f aca="false">D22/100*N(INDEX(CoFID!$H$2:$H$49,MATCH(E22,CoFID!$A$2:$A$49,0)))</f>
        <v>0.16</v>
      </c>
      <c r="M22" s="11" t="n">
        <f aca="false">D22/100*N(INDEX(CoFID!$I$2:$I$49,MATCH(E22,CoFID!$A$2:$A$49,0)))</f>
        <v>0.41</v>
      </c>
      <c r="N22" s="11" t="n">
        <f aca="false">D22/100*N(INDEX(CoFID!$J$2:$J$49,MATCH(E22,CoFID!$A$2:$A$49,0)))</f>
        <v>0.001</v>
      </c>
    </row>
    <row r="23" customFormat="false" ht="15" hidden="false" customHeight="false" outlineLevel="0" collapsed="false">
      <c r="A23" s="2" t="s">
        <v>32</v>
      </c>
      <c r="B23" s="5" t="n">
        <v>4</v>
      </c>
      <c r="C23" s="5" t="s">
        <v>175</v>
      </c>
      <c r="D23" s="5" t="n">
        <v>15</v>
      </c>
      <c r="E23" s="5" t="s">
        <v>123</v>
      </c>
      <c r="F23" s="10" t="str">
        <f aca="false">INDEX(CoFID!$B$2:$B$49,MATCH(E23,CoFID!$A$2:$A$49,0))</f>
        <v>Ginger, fresh</v>
      </c>
      <c r="G23" s="11" t="n">
        <f aca="false">D23/100*N(INDEX(CoFID!$C$2:$C$49,MATCH(E23,CoFID!$A$2:$A$49,0)))</f>
        <v>6.6</v>
      </c>
      <c r="H23" s="11" t="n">
        <f aca="false">D23/100*N(INDEX(CoFID!$D$2:$D$49,MATCH(E23,CoFID!$A$2:$A$49,0)))</f>
        <v>0.27</v>
      </c>
      <c r="I23" s="11" t="n">
        <f aca="false">D23/100*N(INDEX(CoFID!$E$2:$E$49,MATCH(E23,CoFID!$A$2:$A$49,0)))</f>
        <v>0.12</v>
      </c>
      <c r="J23" s="11" t="n">
        <f aca="false">D23/100*N(INDEX(CoFID!$F$2:$F$49,MATCH(E23,CoFID!$A$2:$A$49,0)))</f>
        <v>0.03</v>
      </c>
      <c r="K23" s="11" t="n">
        <f aca="false">D23/100*N(INDEX(CoFID!$G$2:$G$49,MATCH(E23,CoFID!$A$2:$A$49,0)))</f>
        <v>1.215</v>
      </c>
      <c r="L23" s="11" t="n">
        <f aca="false">D23/100*N(INDEX(CoFID!$H$2:$H$49,MATCH(E23,CoFID!$A$2:$A$49,0)))</f>
        <v>0.255</v>
      </c>
      <c r="M23" s="11" t="n">
        <f aca="false">D23/100*N(INDEX(CoFID!$I$2:$I$49,MATCH(E23,CoFID!$A$2:$A$49,0)))</f>
        <v>0.3</v>
      </c>
      <c r="N23" s="11" t="n">
        <f aca="false">D23/100*N(INDEX(CoFID!$J$2:$J$49,MATCH(E23,CoFID!$A$2:$A$49,0)))</f>
        <v>0.00495</v>
      </c>
    </row>
    <row r="24" customFormat="false" ht="15" hidden="false" customHeight="false" outlineLevel="0" collapsed="false">
      <c r="A24" s="2" t="s">
        <v>32</v>
      </c>
      <c r="B24" s="5" t="n">
        <v>4</v>
      </c>
      <c r="C24" s="5" t="s">
        <v>176</v>
      </c>
      <c r="D24" s="5" t="n">
        <v>10</v>
      </c>
      <c r="E24" s="5" t="s">
        <v>119</v>
      </c>
      <c r="F24" s="10" t="str">
        <f aca="false">INDEX(CoFID!$B$2:$B$49,MATCH(E24,CoFID!$A$2:$A$49,0))</f>
        <v>Curry powder</v>
      </c>
      <c r="G24" s="11" t="n">
        <f aca="false">D24/100*N(INDEX(CoFID!$C$2:$C$49,MATCH(E24,CoFID!$A$2:$A$49,0)))</f>
        <v>23.3</v>
      </c>
      <c r="H24" s="11" t="n">
        <f aca="false">D24/100*N(INDEX(CoFID!$D$2:$D$49,MATCH(E24,CoFID!$A$2:$A$49,0)))</f>
        <v>0.95</v>
      </c>
      <c r="I24" s="11" t="n">
        <f aca="false">D24/100*N(INDEX(CoFID!$E$2:$E$49,MATCH(E24,CoFID!$A$2:$A$49,0)))</f>
        <v>1.08</v>
      </c>
      <c r="J24" s="11" t="n">
        <f aca="false">D24/100*N(INDEX(CoFID!$F$2:$F$49,MATCH(E24,CoFID!$A$2:$A$49,0)))</f>
        <v>0</v>
      </c>
      <c r="K24" s="11" t="n">
        <f aca="false">D24/100*N(INDEX(CoFID!$G$2:$G$49,MATCH(E24,CoFID!$A$2:$A$49,0)))</f>
        <v>2.61</v>
      </c>
      <c r="L24" s="11" t="n">
        <f aca="false">D24/100*N(INDEX(CoFID!$H$2:$H$49,MATCH(E24,CoFID!$A$2:$A$49,0)))</f>
        <v>0</v>
      </c>
      <c r="M24" s="11" t="n">
        <f aca="false">D24/100*N(INDEX(CoFID!$I$2:$I$49,MATCH(E24,CoFID!$A$2:$A$49,0)))</f>
        <v>2.3</v>
      </c>
      <c r="N24" s="11" t="n">
        <f aca="false">D24/100*N(INDEX(CoFID!$J$2:$J$49,MATCH(E24,CoFID!$A$2:$A$49,0)))</f>
        <v>0.1125</v>
      </c>
    </row>
    <row r="25" customFormat="false" ht="15" hidden="false" customHeight="false" outlineLevel="0" collapsed="false">
      <c r="A25" s="2" t="s">
        <v>32</v>
      </c>
      <c r="B25" s="5" t="n">
        <v>4</v>
      </c>
      <c r="C25" s="5" t="s">
        <v>177</v>
      </c>
      <c r="D25" s="5" t="n">
        <v>15</v>
      </c>
      <c r="E25" s="5" t="s">
        <v>151</v>
      </c>
      <c r="F25" s="10" t="str">
        <f aca="false">INDEX(CoFID!$B$2:$B$49,MATCH(E25,CoFID!$A$2:$A$49,0))</f>
        <v>Oil, vegetable, average</v>
      </c>
      <c r="G25" s="11" t="n">
        <f aca="false">D25/100*N(INDEX(CoFID!$C$2:$C$49,MATCH(E25,CoFID!$A$2:$A$49,0)))</f>
        <v>134.85</v>
      </c>
      <c r="H25" s="11" t="n">
        <f aca="false">D25/100*N(INDEX(CoFID!$D$2:$D$49,MATCH(E25,CoFID!$A$2:$A$49,0)))</f>
        <v>0</v>
      </c>
      <c r="I25" s="11" t="n">
        <f aca="false">D25/100*N(INDEX(CoFID!$E$2:$E$49,MATCH(E25,CoFID!$A$2:$A$49,0)))</f>
        <v>14.985</v>
      </c>
      <c r="J25" s="11" t="n">
        <f aca="false">D25/100*N(INDEX(CoFID!$F$2:$F$49,MATCH(E25,CoFID!$A$2:$A$49,0)))</f>
        <v>0.99</v>
      </c>
      <c r="K25" s="11" t="n">
        <f aca="false">D25/100*N(INDEX(CoFID!$G$2:$G$49,MATCH(E25,CoFID!$A$2:$A$49,0)))</f>
        <v>0</v>
      </c>
      <c r="L25" s="11" t="n">
        <f aca="false">D25/100*N(INDEX(CoFID!$H$2:$H$49,MATCH(E25,CoFID!$A$2:$A$49,0)))</f>
        <v>0</v>
      </c>
      <c r="M25" s="11" t="n">
        <f aca="false">D25/100*N(INDEX(CoFID!$I$2:$I$49,MATCH(E25,CoFID!$A$2:$A$49,0)))</f>
        <v>0</v>
      </c>
      <c r="N25" s="11" t="n">
        <f aca="false">D25/100*N(INDEX(CoFID!$J$2:$J$49,MATCH(E25,CoFID!$A$2:$A$49,0)))</f>
        <v>0</v>
      </c>
    </row>
    <row r="26" customFormat="false" ht="15" hidden="false" customHeight="false" outlineLevel="0" collapsed="false">
      <c r="A26" s="2" t="s">
        <v>32</v>
      </c>
      <c r="B26" s="5" t="n">
        <v>4</v>
      </c>
      <c r="C26" s="5" t="s">
        <v>178</v>
      </c>
      <c r="D26" s="5" t="n">
        <v>300</v>
      </c>
      <c r="E26" s="5" t="s">
        <v>67</v>
      </c>
      <c r="F26" s="10" t="str">
        <f aca="false">INDEX(CoFID!$B$2:$B$49,MATCH(E26,CoFID!$A$2:$A$49,0))</f>
        <v>Rice, white, long grain, raw</v>
      </c>
      <c r="G26" s="11" t="n">
        <f aca="false">D26/100*N(INDEX(CoFID!$C$2:$C$49,MATCH(E26,CoFID!$A$2:$A$49,0)))</f>
        <v>1065</v>
      </c>
      <c r="H26" s="11" t="n">
        <f aca="false">D26/100*N(INDEX(CoFID!$D$2:$D$49,MATCH(E26,CoFID!$A$2:$A$49,0)))</f>
        <v>20.1</v>
      </c>
      <c r="I26" s="11" t="n">
        <f aca="false">D26/100*N(INDEX(CoFID!$E$2:$E$49,MATCH(E26,CoFID!$A$2:$A$49,0)))</f>
        <v>3</v>
      </c>
      <c r="J26" s="11" t="n">
        <f aca="false">D26/100*N(INDEX(CoFID!$F$2:$F$49,MATCH(E26,CoFID!$A$2:$A$49,0)))</f>
        <v>0.75</v>
      </c>
      <c r="K26" s="11" t="n">
        <f aca="false">D26/100*N(INDEX(CoFID!$G$2:$G$49,MATCH(E26,CoFID!$A$2:$A$49,0)))</f>
        <v>255.3</v>
      </c>
      <c r="L26" s="11" t="n">
        <f aca="false">D26/100*N(INDEX(CoFID!$H$2:$H$49,MATCH(E26,CoFID!$A$2:$A$49,0)))</f>
        <v>0.6</v>
      </c>
      <c r="M26" s="11" t="n">
        <f aca="false">D26/100*N(INDEX(CoFID!$I$2:$I$49,MATCH(E26,CoFID!$A$2:$A$49,0)))</f>
        <v>3.3</v>
      </c>
      <c r="N26" s="11" t="n">
        <f aca="false">D26/100*N(INDEX(CoFID!$J$2:$J$49,MATCH(E26,CoFID!$A$2:$A$49,0)))</f>
        <v>0.009</v>
      </c>
    </row>
    <row r="27" customFormat="false" ht="15" hidden="false" customHeight="false" outlineLevel="0" collapsed="false">
      <c r="A27" s="2" t="s">
        <v>34</v>
      </c>
      <c r="B27" s="5" t="n">
        <v>2</v>
      </c>
      <c r="C27" s="5" t="s">
        <v>179</v>
      </c>
      <c r="D27" s="5" t="n">
        <v>260</v>
      </c>
      <c r="E27" s="5" t="s">
        <v>131</v>
      </c>
      <c r="F27" s="10" t="str">
        <f aca="false">INDEX(CoFID!$B$2:$B$49,MATCH(E27,CoFID!$A$2:$A$49,0))</f>
        <v>Salmon, farmed, flesh only, raw</v>
      </c>
      <c r="G27" s="11" t="n">
        <f aca="false">D27/100*N(INDEX(CoFID!$C$2:$C$49,MATCH(E27,CoFID!$A$2:$A$49,0)))</f>
        <v>564.2</v>
      </c>
      <c r="H27" s="11" t="n">
        <f aca="false">D27/100*N(INDEX(CoFID!$D$2:$D$49,MATCH(E27,CoFID!$A$2:$A$49,0)))</f>
        <v>53.04</v>
      </c>
      <c r="I27" s="11" t="n">
        <f aca="false">D27/100*N(INDEX(CoFID!$E$2:$E$49,MATCH(E27,CoFID!$A$2:$A$49,0)))</f>
        <v>39</v>
      </c>
      <c r="J27" s="11" t="n">
        <f aca="false">D27/100*N(INDEX(CoFID!$F$2:$F$49,MATCH(E27,CoFID!$A$2:$A$49,0)))</f>
        <v>7.202</v>
      </c>
      <c r="K27" s="11" t="n">
        <f aca="false">D27/100*N(INDEX(CoFID!$G$2:$G$49,MATCH(E27,CoFID!$A$2:$A$49,0)))</f>
        <v>0</v>
      </c>
      <c r="L27" s="11" t="n">
        <f aca="false">D27/100*N(INDEX(CoFID!$H$2:$H$49,MATCH(E27,CoFID!$A$2:$A$49,0)))</f>
        <v>0</v>
      </c>
      <c r="M27" s="11" t="n">
        <f aca="false">D27/100*N(INDEX(CoFID!$I$2:$I$49,MATCH(E27,CoFID!$A$2:$A$49,0)))</f>
        <v>0.52</v>
      </c>
      <c r="N27" s="11" t="n">
        <f aca="false">D27/100*N(INDEX(CoFID!$J$2:$J$49,MATCH(E27,CoFID!$A$2:$A$49,0)))</f>
        <v>0.2782</v>
      </c>
    </row>
    <row r="28" customFormat="false" ht="15" hidden="false" customHeight="false" outlineLevel="0" collapsed="false">
      <c r="A28" s="2" t="s">
        <v>34</v>
      </c>
      <c r="B28" s="5" t="n">
        <v>2</v>
      </c>
      <c r="C28" s="5" t="s">
        <v>180</v>
      </c>
      <c r="D28" s="5" t="n">
        <v>400</v>
      </c>
      <c r="E28" s="5" t="s">
        <v>107</v>
      </c>
      <c r="F28" s="10" t="str">
        <f aca="false">INDEX(CoFID!$B$2:$B$49,MATCH(E28,CoFID!$A$2:$A$49,0))</f>
        <v>Potatoes, new and salad, flesh only, raw</v>
      </c>
      <c r="G28" s="11" t="n">
        <f aca="false">D28/100*N(INDEX(CoFID!$C$2:$C$49,MATCH(E28,CoFID!$A$2:$A$49,0)))</f>
        <v>272</v>
      </c>
      <c r="H28" s="11" t="n">
        <f aca="false">D28/100*N(INDEX(CoFID!$D$2:$D$49,MATCH(E28,CoFID!$A$2:$A$49,0)))</f>
        <v>6.8</v>
      </c>
      <c r="I28" s="11" t="n">
        <f aca="false">D28/100*N(INDEX(CoFID!$E$2:$E$49,MATCH(E28,CoFID!$A$2:$A$49,0)))</f>
        <v>0.4</v>
      </c>
      <c r="J28" s="11" t="n">
        <f aca="false">D28/100*N(INDEX(CoFID!$F$2:$F$49,MATCH(E28,CoFID!$A$2:$A$49,0)))</f>
        <v>0.16</v>
      </c>
      <c r="K28" s="11" t="n">
        <f aca="false">D28/100*N(INDEX(CoFID!$G$2:$G$49,MATCH(E28,CoFID!$A$2:$A$49,0)))</f>
        <v>64.4</v>
      </c>
      <c r="L28" s="11" t="n">
        <f aca="false">D28/100*N(INDEX(CoFID!$H$2:$H$49,MATCH(E28,CoFID!$A$2:$A$49,0)))</f>
        <v>5.2</v>
      </c>
      <c r="M28" s="11" t="n">
        <f aca="false">D28/100*N(INDEX(CoFID!$I$2:$I$49,MATCH(E28,CoFID!$A$2:$A$49,0)))</f>
        <v>7.2</v>
      </c>
      <c r="N28" s="11" t="n">
        <f aca="false">D28/100*N(INDEX(CoFID!$J$2:$J$49,MATCH(E28,CoFID!$A$2:$A$49,0)))</f>
        <v>0.028</v>
      </c>
    </row>
    <row r="29" customFormat="false" ht="15" hidden="false" customHeight="false" outlineLevel="0" collapsed="false">
      <c r="A29" s="2" t="s">
        <v>34</v>
      </c>
      <c r="B29" s="5" t="n">
        <v>2</v>
      </c>
      <c r="C29" s="5" t="s">
        <v>181</v>
      </c>
      <c r="D29" s="5" t="n">
        <v>200</v>
      </c>
      <c r="E29" s="5" t="s">
        <v>93</v>
      </c>
      <c r="F29" s="10" t="str">
        <f aca="false">INDEX(CoFID!$B$2:$B$49,MATCH(E29,CoFID!$A$2:$A$49,0))</f>
        <v>Broccoli, green, raw</v>
      </c>
      <c r="G29" s="11" t="n">
        <f aca="false">D29/100*N(INDEX(CoFID!$C$2:$C$49,MATCH(E29,CoFID!$A$2:$A$49,0)))</f>
        <v>68</v>
      </c>
      <c r="H29" s="11" t="n">
        <f aca="false">D29/100*N(INDEX(CoFID!$D$2:$D$49,MATCH(E29,CoFID!$A$2:$A$49,0)))</f>
        <v>8.6</v>
      </c>
      <c r="I29" s="11" t="n">
        <f aca="false">D29/100*N(INDEX(CoFID!$E$2:$E$49,MATCH(E29,CoFID!$A$2:$A$49,0)))</f>
        <v>1.2</v>
      </c>
      <c r="J29" s="11" t="n">
        <f aca="false">D29/100*N(INDEX(CoFID!$F$2:$F$49,MATCH(E29,CoFID!$A$2:$A$49,0)))</f>
        <v>0.3</v>
      </c>
      <c r="K29" s="11" t="n">
        <f aca="false">D29/100*N(INDEX(CoFID!$G$2:$G$49,MATCH(E29,CoFID!$A$2:$A$49,0)))</f>
        <v>6.4</v>
      </c>
      <c r="L29" s="11" t="n">
        <f aca="false">D29/100*N(INDEX(CoFID!$H$2:$H$49,MATCH(E29,CoFID!$A$2:$A$49,0)))</f>
        <v>3.8</v>
      </c>
      <c r="M29" s="11" t="n">
        <f aca="false">D29/100*N(INDEX(CoFID!$I$2:$I$49,MATCH(E29,CoFID!$A$2:$A$49,0)))</f>
        <v>8</v>
      </c>
      <c r="N29" s="11" t="n">
        <f aca="false">D29/100*N(INDEX(CoFID!$J$2:$J$49,MATCH(E29,CoFID!$A$2:$A$49,0)))</f>
        <v>0.044</v>
      </c>
    </row>
    <row r="30" customFormat="false" ht="15" hidden="false" customHeight="false" outlineLevel="0" collapsed="false">
      <c r="A30" s="2" t="s">
        <v>34</v>
      </c>
      <c r="B30" s="5" t="n">
        <v>2</v>
      </c>
      <c r="C30" s="5" t="s">
        <v>182</v>
      </c>
      <c r="D30" s="5" t="n">
        <v>15</v>
      </c>
      <c r="E30" s="5" t="s">
        <v>149</v>
      </c>
      <c r="F30" s="10" t="str">
        <f aca="false">INDEX(CoFID!$B$2:$B$49,MATCH(E30,CoFID!$A$2:$A$49,0))</f>
        <v>Butter, salted</v>
      </c>
      <c r="G30" s="11" t="n">
        <f aca="false">D30/100*N(INDEX(CoFID!$C$2:$C$49,MATCH(E30,CoFID!$A$2:$A$49,0)))</f>
        <v>111.6</v>
      </c>
      <c r="H30" s="11" t="n">
        <f aca="false">D30/100*N(INDEX(CoFID!$D$2:$D$49,MATCH(E30,CoFID!$A$2:$A$49,0)))</f>
        <v>0.09</v>
      </c>
      <c r="I30" s="11" t="n">
        <f aca="false">D30/100*N(INDEX(CoFID!$E$2:$E$49,MATCH(E30,CoFID!$A$2:$A$49,0)))</f>
        <v>12.33</v>
      </c>
      <c r="J30" s="11" t="n">
        <f aca="false">D30/100*N(INDEX(CoFID!$F$2:$F$49,MATCH(E30,CoFID!$A$2:$A$49,0)))</f>
        <v>7.8135</v>
      </c>
      <c r="K30" s="11" t="n">
        <f aca="false">D30/100*N(INDEX(CoFID!$G$2:$G$49,MATCH(E30,CoFID!$A$2:$A$49,0)))</f>
        <v>0.09</v>
      </c>
      <c r="L30" s="11" t="n">
        <f aca="false">D30/100*N(INDEX(CoFID!$H$2:$H$49,MATCH(E30,CoFID!$A$2:$A$49,0)))</f>
        <v>0.09</v>
      </c>
      <c r="M30" s="11" t="n">
        <f aca="false">D30/100*N(INDEX(CoFID!$I$2:$I$49,MATCH(E30,CoFID!$A$2:$A$49,0)))</f>
        <v>0</v>
      </c>
      <c r="N30" s="11" t="n">
        <f aca="false">D30/100*N(INDEX(CoFID!$J$2:$J$49,MATCH(E30,CoFID!$A$2:$A$49,0)))</f>
        <v>0.27375</v>
      </c>
    </row>
    <row r="31" customFormat="false" ht="15" hidden="false" customHeight="false" outlineLevel="0" collapsed="false">
      <c r="A31" s="2" t="s">
        <v>34</v>
      </c>
      <c r="B31" s="5" t="n">
        <v>2</v>
      </c>
      <c r="C31" s="5" t="s">
        <v>183</v>
      </c>
      <c r="D31" s="5" t="n">
        <v>20</v>
      </c>
      <c r="E31" s="5" t="s">
        <v>125</v>
      </c>
      <c r="F31" s="10" t="str">
        <f aca="false">INDEX(CoFID!$B$2:$B$49,MATCH(E31,CoFID!$A$2:$A$49,0))</f>
        <v>Lemon juice, fresh</v>
      </c>
      <c r="G31" s="11" t="n">
        <f aca="false">D31/100*N(INDEX(CoFID!$C$2:$C$49,MATCH(E31,CoFID!$A$2:$A$49,0)))</f>
        <v>1.4</v>
      </c>
      <c r="H31" s="11" t="n">
        <f aca="false">D31/100*N(INDEX(CoFID!$D$2:$D$49,MATCH(E31,CoFID!$A$2:$A$49,0)))</f>
        <v>0.06</v>
      </c>
      <c r="I31" s="11" t="n">
        <f aca="false">D31/100*N(INDEX(CoFID!$E$2:$E$49,MATCH(E31,CoFID!$A$2:$A$49,0)))</f>
        <v>0</v>
      </c>
      <c r="J31" s="11" t="n">
        <f aca="false">D31/100*N(INDEX(CoFID!$F$2:$F$49,MATCH(E31,CoFID!$A$2:$A$49,0)))</f>
        <v>0</v>
      </c>
      <c r="K31" s="11" t="n">
        <f aca="false">D31/100*N(INDEX(CoFID!$G$2:$G$49,MATCH(E31,CoFID!$A$2:$A$49,0)))</f>
        <v>0.32</v>
      </c>
      <c r="L31" s="11" t="n">
        <f aca="false">D31/100*N(INDEX(CoFID!$H$2:$H$49,MATCH(E31,CoFID!$A$2:$A$49,0)))</f>
        <v>0.32</v>
      </c>
      <c r="M31" s="11" t="n">
        <f aca="false">D31/100*N(INDEX(CoFID!$I$2:$I$49,MATCH(E31,CoFID!$A$2:$A$49,0)))</f>
        <v>0.02</v>
      </c>
      <c r="N31" s="11" t="n">
        <f aca="false">D31/100*N(INDEX(CoFID!$J$2:$J$49,MATCH(E31,CoFID!$A$2:$A$49,0)))</f>
        <v>0.0006</v>
      </c>
    </row>
    <row r="32" customFormat="false" ht="15" hidden="false" customHeight="false" outlineLevel="0" collapsed="false">
      <c r="A32" s="2" t="s">
        <v>36</v>
      </c>
      <c r="B32" s="5" t="n">
        <v>4</v>
      </c>
      <c r="C32" s="5" t="s">
        <v>184</v>
      </c>
      <c r="D32" s="5" t="n">
        <v>250</v>
      </c>
      <c r="E32" s="5" t="s">
        <v>111</v>
      </c>
      <c r="F32" s="10" t="str">
        <f aca="false">INDEX(CoFID!$B$2:$B$49,MATCH(E32,CoFID!$A$2:$A$49,0))</f>
        <v>Lentils, red, split, dried, raw</v>
      </c>
      <c r="G32" s="11" t="n">
        <f aca="false">D32/100*N(INDEX(CoFID!$C$2:$C$49,MATCH(E32,CoFID!$A$2:$A$49,0)))</f>
        <v>777.5</v>
      </c>
      <c r="H32" s="11" t="n">
        <f aca="false">D32/100*N(INDEX(CoFID!$D$2:$D$49,MATCH(E32,CoFID!$A$2:$A$49,0)))</f>
        <v>64</v>
      </c>
      <c r="I32" s="11" t="n">
        <f aca="false">D32/100*N(INDEX(CoFID!$E$2:$E$49,MATCH(E32,CoFID!$A$2:$A$49,0)))</f>
        <v>4.5</v>
      </c>
      <c r="J32" s="11" t="n">
        <f aca="false">D32/100*N(INDEX(CoFID!$F$2:$F$49,MATCH(E32,CoFID!$A$2:$A$49,0)))</f>
        <v>0.7</v>
      </c>
      <c r="K32" s="11" t="n">
        <f aca="false">D32/100*N(INDEX(CoFID!$G$2:$G$49,MATCH(E32,CoFID!$A$2:$A$49,0)))</f>
        <v>128</v>
      </c>
      <c r="L32" s="11" t="n">
        <f aca="false">D32/100*N(INDEX(CoFID!$H$2:$H$49,MATCH(E32,CoFID!$A$2:$A$49,0)))</f>
        <v>3.25</v>
      </c>
      <c r="M32" s="11" t="n">
        <f aca="false">D32/100*N(INDEX(CoFID!$I$2:$I$49,MATCH(E32,CoFID!$A$2:$A$49,0)))</f>
        <v>43.5</v>
      </c>
      <c r="N32" s="11" t="n">
        <f aca="false">D32/100*N(INDEX(CoFID!$J$2:$J$49,MATCH(E32,CoFID!$A$2:$A$49,0)))</f>
        <v>0</v>
      </c>
    </row>
    <row r="33" customFormat="false" ht="15" hidden="false" customHeight="false" outlineLevel="0" collapsed="false">
      <c r="A33" s="2" t="s">
        <v>36</v>
      </c>
      <c r="B33" s="5" t="n">
        <v>4</v>
      </c>
      <c r="C33" s="5" t="s">
        <v>169</v>
      </c>
      <c r="D33" s="5" t="n">
        <v>150</v>
      </c>
      <c r="E33" s="5" t="s">
        <v>91</v>
      </c>
      <c r="F33" s="10" t="str">
        <f aca="false">INDEX(CoFID!$B$2:$B$49,MATCH(E33,CoFID!$A$2:$A$49,0))</f>
        <v>Onions, raw</v>
      </c>
      <c r="G33" s="11" t="n">
        <f aca="false">D33/100*N(INDEX(CoFID!$C$2:$C$49,MATCH(E33,CoFID!$A$2:$A$49,0)))</f>
        <v>52.5</v>
      </c>
      <c r="H33" s="11" t="n">
        <f aca="false">D33/100*N(INDEX(CoFID!$D$2:$D$49,MATCH(E33,CoFID!$A$2:$A$49,0)))</f>
        <v>1.5</v>
      </c>
      <c r="I33" s="11" t="n">
        <f aca="false">D33/100*N(INDEX(CoFID!$E$2:$E$49,MATCH(E33,CoFID!$A$2:$A$49,0)))</f>
        <v>0.15</v>
      </c>
      <c r="J33" s="11" t="n">
        <f aca="false">D33/100*N(INDEX(CoFID!$F$2:$F$49,MATCH(E33,CoFID!$A$2:$A$49,0)))</f>
        <v>0</v>
      </c>
      <c r="K33" s="11" t="n">
        <f aca="false">D33/100*N(INDEX(CoFID!$G$2:$G$49,MATCH(E33,CoFID!$A$2:$A$49,0)))</f>
        <v>12</v>
      </c>
      <c r="L33" s="11" t="n">
        <f aca="false">D33/100*N(INDEX(CoFID!$H$2:$H$49,MATCH(E33,CoFID!$A$2:$A$49,0)))</f>
        <v>9.3</v>
      </c>
      <c r="M33" s="11" t="n">
        <f aca="false">D33/100*N(INDEX(CoFID!$I$2:$I$49,MATCH(E33,CoFID!$A$2:$A$49,0)))</f>
        <v>3.3</v>
      </c>
      <c r="N33" s="11" t="n">
        <f aca="false">D33/100*N(INDEX(CoFID!$J$2:$J$49,MATCH(E33,CoFID!$A$2:$A$49,0)))</f>
        <v>0.0105</v>
      </c>
    </row>
    <row r="34" customFormat="false" ht="15" hidden="false" customHeight="false" outlineLevel="0" collapsed="false">
      <c r="A34" s="2" t="s">
        <v>36</v>
      </c>
      <c r="B34" s="5" t="n">
        <v>4</v>
      </c>
      <c r="C34" s="5" t="s">
        <v>168</v>
      </c>
      <c r="D34" s="5" t="n">
        <v>200</v>
      </c>
      <c r="E34" s="5" t="s">
        <v>101</v>
      </c>
      <c r="F34" s="10" t="str">
        <f aca="false">INDEX(CoFID!$B$2:$B$49,MATCH(E34,CoFID!$A$2:$A$49,0))</f>
        <v>Tomatoes, canned, whole contents</v>
      </c>
      <c r="G34" s="11" t="n">
        <f aca="false">D34/100*N(INDEX(CoFID!$C$2:$C$49,MATCH(E34,CoFID!$A$2:$A$49,0)))</f>
        <v>38</v>
      </c>
      <c r="H34" s="11" t="n">
        <f aca="false">D34/100*N(INDEX(CoFID!$D$2:$D$49,MATCH(E34,CoFID!$A$2:$A$49,0)))</f>
        <v>2.2</v>
      </c>
      <c r="I34" s="11" t="n">
        <f aca="false">D34/100*N(INDEX(CoFID!$E$2:$E$49,MATCH(E34,CoFID!$A$2:$A$49,0)))</f>
        <v>0.2</v>
      </c>
      <c r="J34" s="11" t="n">
        <f aca="false">D34/100*N(INDEX(CoFID!$F$2:$F$49,MATCH(E34,CoFID!$A$2:$A$49,0)))</f>
        <v>0.02</v>
      </c>
      <c r="K34" s="11" t="n">
        <f aca="false">D34/100*N(INDEX(CoFID!$G$2:$G$49,MATCH(E34,CoFID!$A$2:$A$49,0)))</f>
        <v>7.6</v>
      </c>
      <c r="L34" s="11" t="n">
        <f aca="false">D34/100*N(INDEX(CoFID!$H$2:$H$49,MATCH(E34,CoFID!$A$2:$A$49,0)))</f>
        <v>7.6</v>
      </c>
      <c r="M34" s="11" t="n">
        <f aca="false">D34/100*N(INDEX(CoFID!$I$2:$I$49,MATCH(E34,CoFID!$A$2:$A$49,0)))</f>
        <v>1.6</v>
      </c>
      <c r="N34" s="11" t="n">
        <f aca="false">D34/100*N(INDEX(CoFID!$J$2:$J$49,MATCH(E34,CoFID!$A$2:$A$49,0)))</f>
        <v>0.026</v>
      </c>
    </row>
    <row r="35" customFormat="false" ht="15" hidden="false" customHeight="false" outlineLevel="0" collapsed="false">
      <c r="A35" s="2" t="s">
        <v>36</v>
      </c>
      <c r="B35" s="5" t="n">
        <v>4</v>
      </c>
      <c r="C35" s="5" t="s">
        <v>162</v>
      </c>
      <c r="D35" s="5" t="n">
        <v>10</v>
      </c>
      <c r="E35" s="5" t="s">
        <v>85</v>
      </c>
      <c r="F35" s="10" t="str">
        <f aca="false">INDEX(CoFID!$B$2:$B$49,MATCH(E35,CoFID!$A$2:$A$49,0))</f>
        <v>Garlic, raw</v>
      </c>
      <c r="G35" s="11" t="n">
        <f aca="false">D35/100*N(INDEX(CoFID!$C$2:$C$49,MATCH(E35,CoFID!$A$2:$A$49,0)))</f>
        <v>9.8</v>
      </c>
      <c r="H35" s="11" t="n">
        <f aca="false">D35/100*N(INDEX(CoFID!$D$2:$D$49,MATCH(E35,CoFID!$A$2:$A$49,0)))</f>
        <v>0.79</v>
      </c>
      <c r="I35" s="11" t="n">
        <f aca="false">D35/100*N(INDEX(CoFID!$E$2:$E$49,MATCH(E35,CoFID!$A$2:$A$49,0)))</f>
        <v>0.06</v>
      </c>
      <c r="J35" s="11" t="n">
        <f aca="false">D35/100*N(INDEX(CoFID!$F$2:$F$49,MATCH(E35,CoFID!$A$2:$A$49,0)))</f>
        <v>0.01</v>
      </c>
      <c r="K35" s="11" t="n">
        <f aca="false">D35/100*N(INDEX(CoFID!$G$2:$G$49,MATCH(E35,CoFID!$A$2:$A$49,0)))</f>
        <v>1.63</v>
      </c>
      <c r="L35" s="11" t="n">
        <f aca="false">D35/100*N(INDEX(CoFID!$H$2:$H$49,MATCH(E35,CoFID!$A$2:$A$49,0)))</f>
        <v>0.16</v>
      </c>
      <c r="M35" s="11" t="n">
        <f aca="false">D35/100*N(INDEX(CoFID!$I$2:$I$49,MATCH(E35,CoFID!$A$2:$A$49,0)))</f>
        <v>0.41</v>
      </c>
      <c r="N35" s="11" t="n">
        <f aca="false">D35/100*N(INDEX(CoFID!$J$2:$J$49,MATCH(E35,CoFID!$A$2:$A$49,0)))</f>
        <v>0.001</v>
      </c>
    </row>
    <row r="36" customFormat="false" ht="15" hidden="false" customHeight="false" outlineLevel="0" collapsed="false">
      <c r="A36" s="2" t="s">
        <v>36</v>
      </c>
      <c r="B36" s="5" t="n">
        <v>4</v>
      </c>
      <c r="C36" s="5" t="s">
        <v>175</v>
      </c>
      <c r="D36" s="5" t="n">
        <v>10</v>
      </c>
      <c r="E36" s="5" t="s">
        <v>123</v>
      </c>
      <c r="F36" s="10" t="str">
        <f aca="false">INDEX(CoFID!$B$2:$B$49,MATCH(E36,CoFID!$A$2:$A$49,0))</f>
        <v>Ginger, fresh</v>
      </c>
      <c r="G36" s="11" t="n">
        <f aca="false">D36/100*N(INDEX(CoFID!$C$2:$C$49,MATCH(E36,CoFID!$A$2:$A$49,0)))</f>
        <v>4.4</v>
      </c>
      <c r="H36" s="11" t="n">
        <f aca="false">D36/100*N(INDEX(CoFID!$D$2:$D$49,MATCH(E36,CoFID!$A$2:$A$49,0)))</f>
        <v>0.18</v>
      </c>
      <c r="I36" s="11" t="n">
        <f aca="false">D36/100*N(INDEX(CoFID!$E$2:$E$49,MATCH(E36,CoFID!$A$2:$A$49,0)))</f>
        <v>0.08</v>
      </c>
      <c r="J36" s="11" t="n">
        <f aca="false">D36/100*N(INDEX(CoFID!$F$2:$F$49,MATCH(E36,CoFID!$A$2:$A$49,0)))</f>
        <v>0.02</v>
      </c>
      <c r="K36" s="11" t="n">
        <f aca="false">D36/100*N(INDEX(CoFID!$G$2:$G$49,MATCH(E36,CoFID!$A$2:$A$49,0)))</f>
        <v>0.81</v>
      </c>
      <c r="L36" s="11" t="n">
        <f aca="false">D36/100*N(INDEX(CoFID!$H$2:$H$49,MATCH(E36,CoFID!$A$2:$A$49,0)))</f>
        <v>0.17</v>
      </c>
      <c r="M36" s="11" t="n">
        <f aca="false">D36/100*N(INDEX(CoFID!$I$2:$I$49,MATCH(E36,CoFID!$A$2:$A$49,0)))</f>
        <v>0.2</v>
      </c>
      <c r="N36" s="11" t="n">
        <f aca="false">D36/100*N(INDEX(CoFID!$J$2:$J$49,MATCH(E36,CoFID!$A$2:$A$49,0)))</f>
        <v>0.0033</v>
      </c>
    </row>
    <row r="37" customFormat="false" ht="15" hidden="false" customHeight="false" outlineLevel="0" collapsed="false">
      <c r="A37" s="2" t="s">
        <v>36</v>
      </c>
      <c r="B37" s="5" t="n">
        <v>4</v>
      </c>
      <c r="C37" s="5" t="s">
        <v>185</v>
      </c>
      <c r="D37" s="5" t="n">
        <v>5</v>
      </c>
      <c r="E37" s="5" t="s">
        <v>117</v>
      </c>
      <c r="F37" s="10" t="str">
        <f aca="false">INDEX(CoFID!$B$2:$B$49,MATCH(E37,CoFID!$A$2:$A$49,0))</f>
        <v>Turmeric, ground</v>
      </c>
      <c r="G37" s="11" t="n">
        <f aca="false">D37/100*N(INDEX(CoFID!$C$2:$C$49,MATCH(E37,CoFID!$A$2:$A$49,0)))</f>
        <v>0</v>
      </c>
      <c r="H37" s="11" t="n">
        <f aca="false">D37/100*N(INDEX(CoFID!$D$2:$D$49,MATCH(E37,CoFID!$A$2:$A$49,0)))</f>
        <v>0.335</v>
      </c>
      <c r="I37" s="11" t="n">
        <f aca="false">D37/100*N(INDEX(CoFID!$E$2:$E$49,MATCH(E37,CoFID!$A$2:$A$49,0)))</f>
        <v>0.35</v>
      </c>
      <c r="J37" s="11" t="n">
        <f aca="false">D37/100*N(INDEX(CoFID!$F$2:$F$49,MATCH(E37,CoFID!$A$2:$A$49,0)))</f>
        <v>0.145</v>
      </c>
      <c r="K37" s="11" t="n">
        <f aca="false">D37/100*N(INDEX(CoFID!$G$2:$G$49,MATCH(E37,CoFID!$A$2:$A$49,0)))</f>
        <v>0</v>
      </c>
      <c r="L37" s="11" t="n">
        <f aca="false">D37/100*N(INDEX(CoFID!$H$2:$H$49,MATCH(E37,CoFID!$A$2:$A$49,0)))</f>
        <v>0</v>
      </c>
      <c r="M37" s="11" t="n">
        <f aca="false">D37/100*N(INDEX(CoFID!$I$2:$I$49,MATCH(E37,CoFID!$A$2:$A$49,0)))</f>
        <v>0</v>
      </c>
      <c r="N37" s="11" t="n">
        <f aca="false">D37/100*N(INDEX(CoFID!$J$2:$J$49,MATCH(E37,CoFID!$A$2:$A$49,0)))</f>
        <v>0.00385</v>
      </c>
    </row>
    <row r="38" customFormat="false" ht="15" hidden="false" customHeight="false" outlineLevel="0" collapsed="false">
      <c r="A38" s="2" t="s">
        <v>36</v>
      </c>
      <c r="B38" s="5" t="n">
        <v>4</v>
      </c>
      <c r="C38" s="5" t="s">
        <v>186</v>
      </c>
      <c r="D38" s="5" t="n">
        <v>5</v>
      </c>
      <c r="E38" s="5" t="s">
        <v>121</v>
      </c>
      <c r="F38" s="10" t="str">
        <f aca="false">INDEX(CoFID!$B$2:$B$49,MATCH(E38,CoFID!$A$2:$A$49,0))</f>
        <v>Cumin seeds</v>
      </c>
      <c r="G38" s="11" t="n">
        <f aca="false">D38/100*N(INDEX(CoFID!$C$2:$C$49,MATCH(E38,CoFID!$A$2:$A$49,0)))</f>
        <v>0</v>
      </c>
      <c r="H38" s="11" t="n">
        <f aca="false">D38/100*N(INDEX(CoFID!$D$2:$D$49,MATCH(E38,CoFID!$A$2:$A$49,0)))</f>
        <v>0.89</v>
      </c>
      <c r="I38" s="11" t="n">
        <f aca="false">D38/100*N(INDEX(CoFID!$E$2:$E$49,MATCH(E38,CoFID!$A$2:$A$49,0)))</f>
        <v>1.115</v>
      </c>
      <c r="J38" s="11" t="n">
        <f aca="false">D38/100*N(INDEX(CoFID!$F$2:$F$49,MATCH(E38,CoFID!$A$2:$A$49,0)))</f>
        <v>0.077</v>
      </c>
      <c r="K38" s="11" t="n">
        <f aca="false">D38/100*N(INDEX(CoFID!$G$2:$G$49,MATCH(E38,CoFID!$A$2:$A$49,0)))</f>
        <v>0</v>
      </c>
      <c r="L38" s="11" t="n">
        <f aca="false">D38/100*N(INDEX(CoFID!$H$2:$H$49,MATCH(E38,CoFID!$A$2:$A$49,0)))</f>
        <v>0.115</v>
      </c>
      <c r="M38" s="11" t="n">
        <f aca="false">D38/100*N(INDEX(CoFID!$I$2:$I$49,MATCH(E38,CoFID!$A$2:$A$49,0)))</f>
        <v>0.525</v>
      </c>
      <c r="N38" s="11" t="n">
        <f aca="false">D38/100*N(INDEX(CoFID!$J$2:$J$49,MATCH(E38,CoFID!$A$2:$A$49,0)))</f>
        <v>0.021</v>
      </c>
    </row>
    <row r="39" customFormat="false" ht="15" hidden="false" customHeight="false" outlineLevel="0" collapsed="false">
      <c r="A39" s="2" t="s">
        <v>36</v>
      </c>
      <c r="B39" s="5" t="n">
        <v>4</v>
      </c>
      <c r="C39" s="5" t="s">
        <v>187</v>
      </c>
      <c r="D39" s="5" t="n">
        <v>20</v>
      </c>
      <c r="E39" s="5" t="s">
        <v>147</v>
      </c>
      <c r="F39" s="10" t="str">
        <f aca="false">INDEX(CoFID!$B$2:$B$49,MATCH(E39,CoFID!$A$2:$A$49,0))</f>
        <v>Ghee, butter</v>
      </c>
      <c r="G39" s="11" t="n">
        <f aca="false">D39/100*N(INDEX(CoFID!$C$2:$C$49,MATCH(E39,CoFID!$A$2:$A$49,0)))</f>
        <v>175.6</v>
      </c>
      <c r="H39" s="11" t="n">
        <f aca="false">D39/100*N(INDEX(CoFID!$D$2:$D$49,MATCH(E39,CoFID!$A$2:$A$49,0)))</f>
        <v>0.02</v>
      </c>
      <c r="I39" s="11" t="n">
        <f aca="false">D39/100*N(INDEX(CoFID!$E$2:$E$49,MATCH(E39,CoFID!$A$2:$A$49,0)))</f>
        <v>19.52</v>
      </c>
      <c r="J39" s="11" t="n">
        <f aca="false">D39/100*N(INDEX(CoFID!$F$2:$F$49,MATCH(E39,CoFID!$A$2:$A$49,0)))</f>
        <v>11.684</v>
      </c>
      <c r="K39" s="11" t="n">
        <f aca="false">D39/100*N(INDEX(CoFID!$G$2:$G$49,MATCH(E39,CoFID!$A$2:$A$49,0)))</f>
        <v>0</v>
      </c>
      <c r="L39" s="11" t="n">
        <f aca="false">D39/100*N(INDEX(CoFID!$H$2:$H$49,MATCH(E39,CoFID!$A$2:$A$49,0)))</f>
        <v>0</v>
      </c>
      <c r="M39" s="11" t="n">
        <f aca="false">D39/100*N(INDEX(CoFID!$I$2:$I$49,MATCH(E39,CoFID!$A$2:$A$49,0)))</f>
        <v>0</v>
      </c>
      <c r="N39" s="11" t="n">
        <f aca="false">D39/100*N(INDEX(CoFID!$J$2:$J$49,MATCH(E39,CoFID!$A$2:$A$49,0)))</f>
        <v>0.0006</v>
      </c>
    </row>
    <row r="40" customFormat="false" ht="15" hidden="false" customHeight="false" outlineLevel="0" collapsed="false">
      <c r="A40" s="2" t="s">
        <v>36</v>
      </c>
      <c r="B40" s="5" t="n">
        <v>4</v>
      </c>
      <c r="C40" s="5" t="s">
        <v>188</v>
      </c>
      <c r="D40" s="5" t="n">
        <v>900</v>
      </c>
      <c r="E40" s="5" t="s">
        <v>143</v>
      </c>
      <c r="F40" s="10" t="str">
        <f aca="false">INDEX(CoFID!$B$2:$B$49,MATCH(E40,CoFID!$A$2:$A$49,0))</f>
        <v>Water, distilled</v>
      </c>
      <c r="G40" s="11" t="n">
        <f aca="false">D40/100*N(INDEX(CoFID!$C$2:$C$49,MATCH(E40,CoFID!$A$2:$A$49,0)))</f>
        <v>0</v>
      </c>
      <c r="H40" s="11" t="n">
        <f aca="false">D40/100*N(INDEX(CoFID!$D$2:$D$49,MATCH(E40,CoFID!$A$2:$A$49,0)))</f>
        <v>0</v>
      </c>
      <c r="I40" s="11" t="n">
        <f aca="false">D40/100*N(INDEX(CoFID!$E$2:$E$49,MATCH(E40,CoFID!$A$2:$A$49,0)))</f>
        <v>0</v>
      </c>
      <c r="J40" s="11" t="n">
        <f aca="false">D40/100*N(INDEX(CoFID!$F$2:$F$49,MATCH(E40,CoFID!$A$2:$A$49,0)))</f>
        <v>0</v>
      </c>
      <c r="K40" s="11" t="n">
        <f aca="false">D40/100*N(INDEX(CoFID!$G$2:$G$49,MATCH(E40,CoFID!$A$2:$A$49,0)))</f>
        <v>0</v>
      </c>
      <c r="L40" s="11" t="n">
        <f aca="false">D40/100*N(INDEX(CoFID!$H$2:$H$49,MATCH(E40,CoFID!$A$2:$A$49,0)))</f>
        <v>0</v>
      </c>
      <c r="M40" s="11" t="n">
        <f aca="false">D40/100*N(INDEX(CoFID!$I$2:$I$49,MATCH(E40,CoFID!$A$2:$A$49,0)))</f>
        <v>0</v>
      </c>
      <c r="N40" s="11" t="n">
        <f aca="false">D40/100*N(INDEX(CoFID!$J$2:$J$49,MATCH(E40,CoFID!$A$2:$A$49,0)))</f>
        <v>0</v>
      </c>
    </row>
    <row r="41" customFormat="false" ht="15" hidden="false" customHeight="false" outlineLevel="0" collapsed="false">
      <c r="A41" s="2" t="s">
        <v>39</v>
      </c>
      <c r="B41" s="5" t="n">
        <v>1</v>
      </c>
      <c r="C41" s="5" t="s">
        <v>189</v>
      </c>
      <c r="D41" s="5" t="n">
        <v>150</v>
      </c>
      <c r="E41" s="5" t="s">
        <v>83</v>
      </c>
      <c r="F41" s="10" t="str">
        <f aca="false">INDEX(CoFID!$B$2:$B$49,MATCH(E41,CoFID!$A$2:$A$49,0))</f>
        <v>Eggs, chicken, whole, raw</v>
      </c>
      <c r="G41" s="11" t="n">
        <f aca="false">D41/100*N(INDEX(CoFID!$C$2:$C$49,MATCH(E41,CoFID!$A$2:$A$49,0)))</f>
        <v>196.5</v>
      </c>
      <c r="H41" s="11" t="n">
        <f aca="false">D41/100*N(INDEX(CoFID!$D$2:$D$49,MATCH(E41,CoFID!$A$2:$A$49,0)))</f>
        <v>18.9</v>
      </c>
      <c r="I41" s="11" t="n">
        <f aca="false">D41/100*N(INDEX(CoFID!$E$2:$E$49,MATCH(E41,CoFID!$A$2:$A$49,0)))</f>
        <v>13.5</v>
      </c>
      <c r="J41" s="11" t="n">
        <f aca="false">D41/100*N(INDEX(CoFID!$F$2:$F$49,MATCH(E41,CoFID!$A$2:$A$49,0)))</f>
        <v>3.78</v>
      </c>
      <c r="K41" s="11" t="n">
        <f aca="false">D41/100*N(INDEX(CoFID!$G$2:$G$49,MATCH(E41,CoFID!$A$2:$A$49,0)))</f>
        <v>0</v>
      </c>
      <c r="L41" s="11" t="n">
        <f aca="false">D41/100*N(INDEX(CoFID!$H$2:$H$49,MATCH(E41,CoFID!$A$2:$A$49,0)))</f>
        <v>0</v>
      </c>
      <c r="M41" s="11" t="n">
        <f aca="false">D41/100*N(INDEX(CoFID!$I$2:$I$49,MATCH(E41,CoFID!$A$2:$A$49,0)))</f>
        <v>0</v>
      </c>
      <c r="N41" s="11" t="n">
        <f aca="false">D41/100*N(INDEX(CoFID!$J$2:$J$49,MATCH(E41,CoFID!$A$2:$A$49,0)))</f>
        <v>0.5775</v>
      </c>
    </row>
    <row r="42" customFormat="false" ht="15" hidden="false" customHeight="false" outlineLevel="0" collapsed="false">
      <c r="A42" s="2" t="s">
        <v>39</v>
      </c>
      <c r="B42" s="5" t="n">
        <v>1</v>
      </c>
      <c r="C42" s="5" t="s">
        <v>190</v>
      </c>
      <c r="D42" s="5" t="n">
        <v>30</v>
      </c>
      <c r="E42" s="5" t="s">
        <v>75</v>
      </c>
      <c r="F42" s="10" t="str">
        <f aca="false">INDEX(CoFID!$B$2:$B$49,MATCH(E42,CoFID!$A$2:$A$49,0))</f>
        <v>Milk, semi-skimmed, pasteurised, average</v>
      </c>
      <c r="G42" s="11" t="n">
        <f aca="false">D42/100*N(INDEX(CoFID!$C$2:$C$49,MATCH(E42,CoFID!$A$2:$A$49,0)))</f>
        <v>13.8</v>
      </c>
      <c r="H42" s="11" t="n">
        <f aca="false">D42/100*N(INDEX(CoFID!$D$2:$D$49,MATCH(E42,CoFID!$A$2:$A$49,0)))</f>
        <v>1.05</v>
      </c>
      <c r="I42" s="11" t="n">
        <f aca="false">D42/100*N(INDEX(CoFID!$E$2:$E$49,MATCH(E42,CoFID!$A$2:$A$49,0)))</f>
        <v>0.51</v>
      </c>
      <c r="J42" s="11" t="n">
        <f aca="false">D42/100*N(INDEX(CoFID!$F$2:$F$49,MATCH(E42,CoFID!$A$2:$A$49,0)))</f>
        <v>0.321</v>
      </c>
      <c r="K42" s="11" t="n">
        <f aca="false">D42/100*N(INDEX(CoFID!$G$2:$G$49,MATCH(E42,CoFID!$A$2:$A$49,0)))</f>
        <v>1.41</v>
      </c>
      <c r="L42" s="11" t="n">
        <f aca="false">D42/100*N(INDEX(CoFID!$H$2:$H$49,MATCH(E42,CoFID!$A$2:$A$49,0)))</f>
        <v>1.41</v>
      </c>
      <c r="M42" s="11" t="n">
        <f aca="false">D42/100*N(INDEX(CoFID!$I$2:$I$49,MATCH(E42,CoFID!$A$2:$A$49,0)))</f>
        <v>0</v>
      </c>
      <c r="N42" s="11" t="n">
        <f aca="false">D42/100*N(INDEX(CoFID!$J$2:$J$49,MATCH(E42,CoFID!$A$2:$A$49,0)))</f>
        <v>0.0321</v>
      </c>
    </row>
    <row r="43" customFormat="false" ht="15" hidden="false" customHeight="false" outlineLevel="0" collapsed="false">
      <c r="A43" s="2" t="s">
        <v>39</v>
      </c>
      <c r="B43" s="5" t="n">
        <v>1</v>
      </c>
      <c r="C43" s="5" t="s">
        <v>191</v>
      </c>
      <c r="D43" s="5" t="n">
        <v>30</v>
      </c>
      <c r="E43" s="5" t="s">
        <v>77</v>
      </c>
      <c r="F43" s="10" t="str">
        <f aca="false">INDEX(CoFID!$B$2:$B$49,MATCH(E43,CoFID!$A$2:$A$49,0))</f>
        <v>Cheese, Cheddar, English</v>
      </c>
      <c r="G43" s="11" t="n">
        <f aca="false">D43/100*N(INDEX(CoFID!$C$2:$C$49,MATCH(E43,CoFID!$A$2:$A$49,0)))</f>
        <v>124.8</v>
      </c>
      <c r="H43" s="11" t="n">
        <f aca="false">D43/100*N(INDEX(CoFID!$D$2:$D$49,MATCH(E43,CoFID!$A$2:$A$49,0)))</f>
        <v>7.62</v>
      </c>
      <c r="I43" s="11" t="n">
        <f aca="false">D43/100*N(INDEX(CoFID!$E$2:$E$49,MATCH(E43,CoFID!$A$2:$A$49,0)))</f>
        <v>10.47</v>
      </c>
      <c r="J43" s="11" t="n">
        <f aca="false">D43/100*N(INDEX(CoFID!$F$2:$F$49,MATCH(E43,CoFID!$A$2:$A$49,0)))</f>
        <v>6.504</v>
      </c>
      <c r="K43" s="11" t="n">
        <f aca="false">D43/100*N(INDEX(CoFID!$G$2:$G$49,MATCH(E43,CoFID!$A$2:$A$49,0)))</f>
        <v>0.03</v>
      </c>
      <c r="L43" s="11" t="n">
        <f aca="false">D43/100*N(INDEX(CoFID!$H$2:$H$49,MATCH(E43,CoFID!$A$2:$A$49,0)))</f>
        <v>0.03</v>
      </c>
      <c r="M43" s="11" t="n">
        <f aca="false">D43/100*N(INDEX(CoFID!$I$2:$I$49,MATCH(E43,CoFID!$A$2:$A$49,0)))</f>
        <v>0</v>
      </c>
      <c r="N43" s="11" t="n">
        <f aca="false">D43/100*N(INDEX(CoFID!$J$2:$J$49,MATCH(E43,CoFID!$A$2:$A$49,0)))</f>
        <v>0.5424</v>
      </c>
    </row>
    <row r="44" customFormat="false" ht="15" hidden="false" customHeight="false" outlineLevel="0" collapsed="false">
      <c r="A44" s="2" t="s">
        <v>39</v>
      </c>
      <c r="B44" s="5" t="n">
        <v>1</v>
      </c>
      <c r="C44" s="5" t="s">
        <v>192</v>
      </c>
      <c r="D44" s="5" t="n">
        <v>50</v>
      </c>
      <c r="E44" s="5" t="s">
        <v>95</v>
      </c>
      <c r="F44" s="10" t="str">
        <f aca="false">INDEX(CoFID!$B$2:$B$49,MATCH(E44,CoFID!$A$2:$A$49,0))</f>
        <v>Mushrooms, white, raw</v>
      </c>
      <c r="G44" s="11" t="n">
        <f aca="false">D44/100*N(INDEX(CoFID!$C$2:$C$49,MATCH(E44,CoFID!$A$2:$A$49,0)))</f>
        <v>3.5</v>
      </c>
      <c r="H44" s="11" t="n">
        <f aca="false">D44/100*N(INDEX(CoFID!$D$2:$D$49,MATCH(E44,CoFID!$A$2:$A$49,0)))</f>
        <v>0.5</v>
      </c>
      <c r="I44" s="11" t="n">
        <f aca="false">D44/100*N(INDEX(CoFID!$E$2:$E$49,MATCH(E44,CoFID!$A$2:$A$49,0)))</f>
        <v>0.1</v>
      </c>
      <c r="J44" s="11" t="n">
        <f aca="false">D44/100*N(INDEX(CoFID!$F$2:$F$49,MATCH(E44,CoFID!$A$2:$A$49,0)))</f>
        <v>0.02</v>
      </c>
      <c r="K44" s="11" t="n">
        <f aca="false">D44/100*N(INDEX(CoFID!$G$2:$G$49,MATCH(E44,CoFID!$A$2:$A$49,0)))</f>
        <v>0.15</v>
      </c>
      <c r="L44" s="11" t="n">
        <f aca="false">D44/100*N(INDEX(CoFID!$H$2:$H$49,MATCH(E44,CoFID!$A$2:$A$49,0)))</f>
        <v>0.15</v>
      </c>
      <c r="M44" s="11" t="n">
        <f aca="false">D44/100*N(INDEX(CoFID!$I$2:$I$49,MATCH(E44,CoFID!$A$2:$A$49,0)))</f>
        <v>0.35</v>
      </c>
      <c r="N44" s="11" t="n">
        <f aca="false">D44/100*N(INDEX(CoFID!$J$2:$J$49,MATCH(E44,CoFID!$A$2:$A$49,0)))</f>
        <v>0.005</v>
      </c>
    </row>
    <row r="45" customFormat="false" ht="15" hidden="false" customHeight="false" outlineLevel="0" collapsed="false">
      <c r="A45" s="2" t="s">
        <v>39</v>
      </c>
      <c r="B45" s="5" t="n">
        <v>1</v>
      </c>
      <c r="C45" s="5" t="s">
        <v>193</v>
      </c>
      <c r="D45" s="5" t="n">
        <v>50</v>
      </c>
      <c r="E45" s="5" t="s">
        <v>99</v>
      </c>
      <c r="F45" s="10" t="str">
        <f aca="false">INDEX(CoFID!$B$2:$B$49,MATCH(E45,CoFID!$A$2:$A$49,0))</f>
        <v>Pepper, capsicum, red, raw</v>
      </c>
      <c r="G45" s="11" t="n">
        <f aca="false">D45/100*N(INDEX(CoFID!$C$2:$C$49,MATCH(E45,CoFID!$A$2:$A$49,0)))</f>
        <v>10.5</v>
      </c>
      <c r="H45" s="11" t="n">
        <f aca="false">D45/100*N(INDEX(CoFID!$D$2:$D$49,MATCH(E45,CoFID!$A$2:$A$49,0)))</f>
        <v>0.4</v>
      </c>
      <c r="I45" s="11" t="n">
        <f aca="false">D45/100*N(INDEX(CoFID!$E$2:$E$49,MATCH(E45,CoFID!$A$2:$A$49,0)))</f>
        <v>0.1</v>
      </c>
      <c r="J45" s="11" t="n">
        <f aca="false">D45/100*N(INDEX(CoFID!$F$2:$F$49,MATCH(E45,CoFID!$A$2:$A$49,0)))</f>
        <v>0.025</v>
      </c>
      <c r="K45" s="11" t="n">
        <f aca="false">D45/100*N(INDEX(CoFID!$G$2:$G$49,MATCH(E45,CoFID!$A$2:$A$49,0)))</f>
        <v>2.15</v>
      </c>
      <c r="L45" s="11" t="n">
        <f aca="false">D45/100*N(INDEX(CoFID!$H$2:$H$49,MATCH(E45,CoFID!$A$2:$A$49,0)))</f>
        <v>2.1</v>
      </c>
      <c r="M45" s="11" t="n">
        <f aca="false">D45/100*N(INDEX(CoFID!$I$2:$I$49,MATCH(E45,CoFID!$A$2:$A$49,0)))</f>
        <v>1.1</v>
      </c>
      <c r="N45" s="11" t="n">
        <f aca="false">D45/100*N(INDEX(CoFID!$J$2:$J$49,MATCH(E45,CoFID!$A$2:$A$49,0)))</f>
        <v>0.0015</v>
      </c>
    </row>
    <row r="46" customFormat="false" ht="15" hidden="false" customHeight="false" outlineLevel="0" collapsed="false">
      <c r="A46" s="2" t="s">
        <v>39</v>
      </c>
      <c r="B46" s="5" t="n">
        <v>1</v>
      </c>
      <c r="C46" s="5" t="s">
        <v>182</v>
      </c>
      <c r="D46" s="5" t="n">
        <v>10</v>
      </c>
      <c r="E46" s="5" t="s">
        <v>149</v>
      </c>
      <c r="F46" s="10" t="str">
        <f aca="false">INDEX(CoFID!$B$2:$B$49,MATCH(E46,CoFID!$A$2:$A$49,0))</f>
        <v>Butter, salted</v>
      </c>
      <c r="G46" s="11" t="n">
        <f aca="false">D46/100*N(INDEX(CoFID!$C$2:$C$49,MATCH(E46,CoFID!$A$2:$A$49,0)))</f>
        <v>74.4</v>
      </c>
      <c r="H46" s="11" t="n">
        <f aca="false">D46/100*N(INDEX(CoFID!$D$2:$D$49,MATCH(E46,CoFID!$A$2:$A$49,0)))</f>
        <v>0.06</v>
      </c>
      <c r="I46" s="11" t="n">
        <f aca="false">D46/100*N(INDEX(CoFID!$E$2:$E$49,MATCH(E46,CoFID!$A$2:$A$49,0)))</f>
        <v>8.22</v>
      </c>
      <c r="J46" s="11" t="n">
        <f aca="false">D46/100*N(INDEX(CoFID!$F$2:$F$49,MATCH(E46,CoFID!$A$2:$A$49,0)))</f>
        <v>5.209</v>
      </c>
      <c r="K46" s="11" t="n">
        <f aca="false">D46/100*N(INDEX(CoFID!$G$2:$G$49,MATCH(E46,CoFID!$A$2:$A$49,0)))</f>
        <v>0.06</v>
      </c>
      <c r="L46" s="11" t="n">
        <f aca="false">D46/100*N(INDEX(CoFID!$H$2:$H$49,MATCH(E46,CoFID!$A$2:$A$49,0)))</f>
        <v>0.06</v>
      </c>
      <c r="M46" s="11" t="n">
        <f aca="false">D46/100*N(INDEX(CoFID!$I$2:$I$49,MATCH(E46,CoFID!$A$2:$A$49,0)))</f>
        <v>0</v>
      </c>
      <c r="N46" s="11" t="n">
        <f aca="false">D46/100*N(INDEX(CoFID!$J$2:$J$49,MATCH(E46,CoFID!$A$2:$A$49,0)))</f>
        <v>0.1825</v>
      </c>
    </row>
    <row r="47" customFormat="false" ht="15" hidden="false" customHeight="false" outlineLevel="0" collapsed="false">
      <c r="A47" s="2" t="s">
        <v>42</v>
      </c>
      <c r="B47" s="5" t="n">
        <v>2</v>
      </c>
      <c r="C47" s="5" t="s">
        <v>194</v>
      </c>
      <c r="D47" s="5" t="n">
        <v>100</v>
      </c>
      <c r="E47" s="5" t="s">
        <v>63</v>
      </c>
      <c r="F47" s="10" t="str">
        <f aca="false">INDEX(CoFID!$B$2:$B$49,MATCH(E47,CoFID!$A$2:$A$49,0))</f>
        <v>Porridge oats, unfortified</v>
      </c>
      <c r="G47" s="11" t="n">
        <f aca="false">D47/100*N(INDEX(CoFID!$C$2:$C$49,MATCH(E47,CoFID!$A$2:$A$49,0)))</f>
        <v>381</v>
      </c>
      <c r="H47" s="11" t="n">
        <f aca="false">D47/100*N(INDEX(CoFID!$D$2:$D$49,MATCH(E47,CoFID!$A$2:$A$49,0)))</f>
        <v>10.9</v>
      </c>
      <c r="I47" s="11" t="n">
        <f aca="false">D47/100*N(INDEX(CoFID!$E$2:$E$49,MATCH(E47,CoFID!$A$2:$A$49,0)))</f>
        <v>8.1</v>
      </c>
      <c r="J47" s="11" t="n">
        <f aca="false">D47/100*N(INDEX(CoFID!$F$2:$F$49,MATCH(E47,CoFID!$A$2:$A$49,0)))</f>
        <v>1.28</v>
      </c>
      <c r="K47" s="11" t="n">
        <f aca="false">D47/100*N(INDEX(CoFID!$G$2:$G$49,MATCH(E47,CoFID!$A$2:$A$49,0)))</f>
        <v>70.7</v>
      </c>
      <c r="L47" s="11" t="n">
        <f aca="false">D47/100*N(INDEX(CoFID!$H$2:$H$49,MATCH(E47,CoFID!$A$2:$A$49,0)))</f>
        <v>0.3</v>
      </c>
      <c r="M47" s="11" t="n">
        <f aca="false">D47/100*N(INDEX(CoFID!$I$2:$I$49,MATCH(E47,CoFID!$A$2:$A$49,0)))</f>
        <v>7.8</v>
      </c>
      <c r="N47" s="11" t="n">
        <f aca="false">D47/100*N(INDEX(CoFID!$J$2:$J$49,MATCH(E47,CoFID!$A$2:$A$49,0)))</f>
        <v>0.003</v>
      </c>
    </row>
    <row r="48" customFormat="false" ht="15" hidden="false" customHeight="false" outlineLevel="0" collapsed="false">
      <c r="A48" s="2" t="s">
        <v>42</v>
      </c>
      <c r="B48" s="5" t="n">
        <v>2</v>
      </c>
      <c r="C48" s="5" t="s">
        <v>190</v>
      </c>
      <c r="D48" s="5" t="n">
        <v>500</v>
      </c>
      <c r="E48" s="5" t="s">
        <v>75</v>
      </c>
      <c r="F48" s="10" t="str">
        <f aca="false">INDEX(CoFID!$B$2:$B$49,MATCH(E48,CoFID!$A$2:$A$49,0))</f>
        <v>Milk, semi-skimmed, pasteurised, average</v>
      </c>
      <c r="G48" s="11" t="n">
        <f aca="false">D48/100*N(INDEX(CoFID!$C$2:$C$49,MATCH(E48,CoFID!$A$2:$A$49,0)))</f>
        <v>230</v>
      </c>
      <c r="H48" s="11" t="n">
        <f aca="false">D48/100*N(INDEX(CoFID!$D$2:$D$49,MATCH(E48,CoFID!$A$2:$A$49,0)))</f>
        <v>17.5</v>
      </c>
      <c r="I48" s="11" t="n">
        <f aca="false">D48/100*N(INDEX(CoFID!$E$2:$E$49,MATCH(E48,CoFID!$A$2:$A$49,0)))</f>
        <v>8.5</v>
      </c>
      <c r="J48" s="11" t="n">
        <f aca="false">D48/100*N(INDEX(CoFID!$F$2:$F$49,MATCH(E48,CoFID!$A$2:$A$49,0)))</f>
        <v>5.35</v>
      </c>
      <c r="K48" s="11" t="n">
        <f aca="false">D48/100*N(INDEX(CoFID!$G$2:$G$49,MATCH(E48,CoFID!$A$2:$A$49,0)))</f>
        <v>23.5</v>
      </c>
      <c r="L48" s="11" t="n">
        <f aca="false">D48/100*N(INDEX(CoFID!$H$2:$H$49,MATCH(E48,CoFID!$A$2:$A$49,0)))</f>
        <v>23.5</v>
      </c>
      <c r="M48" s="11" t="n">
        <f aca="false">D48/100*N(INDEX(CoFID!$I$2:$I$49,MATCH(E48,CoFID!$A$2:$A$49,0)))</f>
        <v>0</v>
      </c>
      <c r="N48" s="11" t="n">
        <f aca="false">D48/100*N(INDEX(CoFID!$J$2:$J$49,MATCH(E48,CoFID!$A$2:$A$49,0)))</f>
        <v>0.535</v>
      </c>
    </row>
    <row r="49" customFormat="false" ht="15" hidden="false" customHeight="false" outlineLevel="0" collapsed="false">
      <c r="A49" s="2" t="s">
        <v>42</v>
      </c>
      <c r="B49" s="5" t="n">
        <v>2</v>
      </c>
      <c r="C49" s="5" t="s">
        <v>195</v>
      </c>
      <c r="D49" s="5" t="n">
        <v>120</v>
      </c>
      <c r="E49" s="5" t="s">
        <v>127</v>
      </c>
      <c r="F49" s="10" t="str">
        <f aca="false">INDEX(CoFID!$B$2:$B$49,MATCH(E49,CoFID!$A$2:$A$49,0))</f>
        <v>Bananas, flesh only</v>
      </c>
      <c r="G49" s="11" t="n">
        <f aca="false">D49/100*N(INDEX(CoFID!$C$2:$C$49,MATCH(E49,CoFID!$A$2:$A$49,0)))</f>
        <v>97.2</v>
      </c>
      <c r="H49" s="11" t="n">
        <f aca="false">D49/100*N(INDEX(CoFID!$D$2:$D$49,MATCH(E49,CoFID!$A$2:$A$49,0)))</f>
        <v>1.44</v>
      </c>
      <c r="I49" s="11" t="n">
        <f aca="false">D49/100*N(INDEX(CoFID!$E$2:$E$49,MATCH(E49,CoFID!$A$2:$A$49,0)))</f>
        <v>0.12</v>
      </c>
      <c r="J49" s="11" t="n">
        <f aca="false">D49/100*N(INDEX(CoFID!$F$2:$F$49,MATCH(E49,CoFID!$A$2:$A$49,0)))</f>
        <v>0.048</v>
      </c>
      <c r="K49" s="11" t="n">
        <f aca="false">D49/100*N(INDEX(CoFID!$G$2:$G$49,MATCH(E49,CoFID!$A$2:$A$49,0)))</f>
        <v>24.36</v>
      </c>
      <c r="L49" s="11" t="n">
        <f aca="false">D49/100*N(INDEX(CoFID!$H$2:$H$49,MATCH(E49,CoFID!$A$2:$A$49,0)))</f>
        <v>21.72</v>
      </c>
      <c r="M49" s="11" t="n">
        <f aca="false">D49/100*N(INDEX(CoFID!$I$2:$I$49,MATCH(E49,CoFID!$A$2:$A$49,0)))</f>
        <v>1.68</v>
      </c>
      <c r="N49" s="11" t="n">
        <f aca="false">D49/100*N(INDEX(CoFID!$J$2:$J$49,MATCH(E49,CoFID!$A$2:$A$49,0)))</f>
        <v>0</v>
      </c>
    </row>
    <row r="50" customFormat="false" ht="15" hidden="false" customHeight="false" outlineLevel="0" collapsed="false">
      <c r="A50" s="2" t="s">
        <v>42</v>
      </c>
      <c r="B50" s="5" t="n">
        <v>2</v>
      </c>
      <c r="C50" s="5" t="s">
        <v>196</v>
      </c>
      <c r="D50" s="5" t="n">
        <v>20</v>
      </c>
      <c r="E50" s="5" t="s">
        <v>137</v>
      </c>
      <c r="F50" s="10" t="str">
        <f aca="false">INDEX(CoFID!$B$2:$B$49,MATCH(E50,CoFID!$A$2:$A$49,0))</f>
        <v>Honey</v>
      </c>
      <c r="G50" s="11" t="n">
        <f aca="false">D50/100*N(INDEX(CoFID!$C$2:$C$49,MATCH(E50,CoFID!$A$2:$A$49,0)))</f>
        <v>57.6</v>
      </c>
      <c r="H50" s="11" t="n">
        <f aca="false">D50/100*N(INDEX(CoFID!$D$2:$D$49,MATCH(E50,CoFID!$A$2:$A$49,0)))</f>
        <v>0.08</v>
      </c>
      <c r="I50" s="11" t="n">
        <f aca="false">D50/100*N(INDEX(CoFID!$E$2:$E$49,MATCH(E50,CoFID!$A$2:$A$49,0)))</f>
        <v>0</v>
      </c>
      <c r="J50" s="11" t="n">
        <f aca="false">D50/100*N(INDEX(CoFID!$F$2:$F$49,MATCH(E50,CoFID!$A$2:$A$49,0)))</f>
        <v>0</v>
      </c>
      <c r="K50" s="11" t="n">
        <f aca="false">D50/100*N(INDEX(CoFID!$G$2:$G$49,MATCH(E50,CoFID!$A$2:$A$49,0)))</f>
        <v>15.28</v>
      </c>
      <c r="L50" s="11" t="n">
        <f aca="false">D50/100*N(INDEX(CoFID!$H$2:$H$49,MATCH(E50,CoFID!$A$2:$A$49,0)))</f>
        <v>15.28</v>
      </c>
      <c r="M50" s="11" t="n">
        <f aca="false">D50/100*N(INDEX(CoFID!$I$2:$I$49,MATCH(E50,CoFID!$A$2:$A$49,0)))</f>
        <v>0</v>
      </c>
      <c r="N50" s="11" t="n">
        <f aca="false">D50/100*N(INDEX(CoFID!$J$2:$J$49,MATCH(E50,CoFID!$A$2:$A$49,0)))</f>
        <v>0.0056</v>
      </c>
    </row>
    <row r="51" customFormat="false" ht="15" hidden="false" customHeight="false" outlineLevel="0" collapsed="false">
      <c r="A51" s="2" t="s">
        <v>45</v>
      </c>
      <c r="B51" s="5" t="n">
        <v>2</v>
      </c>
      <c r="C51" s="5" t="s">
        <v>197</v>
      </c>
      <c r="D51" s="5" t="n">
        <v>200</v>
      </c>
      <c r="E51" s="5" t="s">
        <v>79</v>
      </c>
      <c r="F51" s="10" t="str">
        <f aca="false">INDEX(CoFID!$B$2:$B$49,MATCH(E51,CoFID!$A$2:$A$49,0))</f>
        <v>Cheese, Paneer</v>
      </c>
      <c r="G51" s="11" t="n">
        <f aca="false">D51/100*N(INDEX(CoFID!$C$2:$C$49,MATCH(E51,CoFID!$A$2:$A$49,0)))</f>
        <v>656</v>
      </c>
      <c r="H51" s="11" t="n">
        <f aca="false">D51/100*N(INDEX(CoFID!$D$2:$D$49,MATCH(E51,CoFID!$A$2:$A$49,0)))</f>
        <v>52</v>
      </c>
      <c r="I51" s="11" t="n">
        <f aca="false">D51/100*N(INDEX(CoFID!$E$2:$E$49,MATCH(E51,CoFID!$A$2:$A$49,0)))</f>
        <v>49</v>
      </c>
      <c r="J51" s="11" t="n">
        <f aca="false">D51/100*N(INDEX(CoFID!$F$2:$F$49,MATCH(E51,CoFID!$A$2:$A$49,0)))</f>
        <v>30.86</v>
      </c>
      <c r="K51" s="11" t="n">
        <f aca="false">D51/100*N(INDEX(CoFID!$G$2:$G$49,MATCH(E51,CoFID!$A$2:$A$49,0)))</f>
        <v>1.8</v>
      </c>
      <c r="L51" s="11" t="n">
        <f aca="false">D51/100*N(INDEX(CoFID!$H$2:$H$49,MATCH(E51,CoFID!$A$2:$A$49,0)))</f>
        <v>1.8</v>
      </c>
      <c r="M51" s="11" t="n">
        <f aca="false">D51/100*N(INDEX(CoFID!$I$2:$I$49,MATCH(E51,CoFID!$A$2:$A$49,0)))</f>
        <v>0</v>
      </c>
      <c r="N51" s="11" t="n">
        <f aca="false">D51/100*N(INDEX(CoFID!$J$2:$J$49,MATCH(E51,CoFID!$A$2:$A$49,0)))</f>
        <v>0.096</v>
      </c>
    </row>
    <row r="52" customFormat="false" ht="15" hidden="false" customHeight="false" outlineLevel="0" collapsed="false">
      <c r="A52" s="2" t="s">
        <v>45</v>
      </c>
      <c r="B52" s="5" t="n">
        <v>2</v>
      </c>
      <c r="C52" s="5" t="s">
        <v>198</v>
      </c>
      <c r="D52" s="5" t="n">
        <v>120</v>
      </c>
      <c r="E52" s="5" t="s">
        <v>71</v>
      </c>
      <c r="F52" s="10" t="str">
        <f aca="false">INDEX(CoFID!$B$2:$B$49,MATCH(E52,CoFID!$A$2:$A$49,0))</f>
        <v>Tortilla, wheat, soft</v>
      </c>
      <c r="G52" s="11" t="n">
        <f aca="false">D52/100*N(INDEX(CoFID!$C$2:$C$49,MATCH(E52,CoFID!$A$2:$A$49,0)))</f>
        <v>342</v>
      </c>
      <c r="H52" s="11" t="n">
        <f aca="false">D52/100*N(INDEX(CoFID!$D$2:$D$49,MATCH(E52,CoFID!$A$2:$A$49,0)))</f>
        <v>9.36</v>
      </c>
      <c r="I52" s="11" t="n">
        <f aca="false">D52/100*N(INDEX(CoFID!$E$2:$E$49,MATCH(E52,CoFID!$A$2:$A$49,0)))</f>
        <v>6.84</v>
      </c>
      <c r="J52" s="11" t="n">
        <f aca="false">D52/100*N(INDEX(CoFID!$F$2:$F$49,MATCH(E52,CoFID!$A$2:$A$49,0)))</f>
        <v>3</v>
      </c>
      <c r="K52" s="11" t="n">
        <f aca="false">D52/100*N(INDEX(CoFID!$G$2:$G$49,MATCH(E52,CoFID!$A$2:$A$49,0)))</f>
        <v>64.68</v>
      </c>
      <c r="L52" s="11" t="n">
        <f aca="false">D52/100*N(INDEX(CoFID!$H$2:$H$49,MATCH(E52,CoFID!$A$2:$A$49,0)))</f>
        <v>2.4</v>
      </c>
      <c r="M52" s="11" t="n">
        <f aca="false">D52/100*N(INDEX(CoFID!$I$2:$I$49,MATCH(E52,CoFID!$A$2:$A$49,0)))</f>
        <v>4.32</v>
      </c>
      <c r="N52" s="11" t="n">
        <f aca="false">D52/100*N(INDEX(CoFID!$J$2:$J$49,MATCH(E52,CoFID!$A$2:$A$49,0)))</f>
        <v>1.866</v>
      </c>
    </row>
    <row r="53" customFormat="false" ht="15" hidden="false" customHeight="false" outlineLevel="0" collapsed="false">
      <c r="A53" s="2" t="s">
        <v>45</v>
      </c>
      <c r="B53" s="5" t="n">
        <v>2</v>
      </c>
      <c r="C53" s="5" t="s">
        <v>199</v>
      </c>
      <c r="D53" s="5" t="n">
        <v>100</v>
      </c>
      <c r="E53" s="5" t="s">
        <v>73</v>
      </c>
      <c r="F53" s="10" t="str">
        <f aca="false">INDEX(CoFID!$B$2:$B$49,MATCH(E53,CoFID!$A$2:$A$49,0))</f>
        <v>Yogurt, whole milk, plain</v>
      </c>
      <c r="G53" s="11" t="n">
        <f aca="false">D53/100*N(INDEX(CoFID!$C$2:$C$49,MATCH(E53,CoFID!$A$2:$A$49,0)))</f>
        <v>79</v>
      </c>
      <c r="H53" s="11" t="n">
        <f aca="false">D53/100*N(INDEX(CoFID!$D$2:$D$49,MATCH(E53,CoFID!$A$2:$A$49,0)))</f>
        <v>5.7</v>
      </c>
      <c r="I53" s="11" t="n">
        <f aca="false">D53/100*N(INDEX(CoFID!$E$2:$E$49,MATCH(E53,CoFID!$A$2:$A$49,0)))</f>
        <v>3</v>
      </c>
      <c r="J53" s="11" t="n">
        <f aca="false">D53/100*N(INDEX(CoFID!$F$2:$F$49,MATCH(E53,CoFID!$A$2:$A$49,0)))</f>
        <v>1.91</v>
      </c>
      <c r="K53" s="11" t="n">
        <f aca="false">D53/100*N(INDEX(CoFID!$G$2:$G$49,MATCH(E53,CoFID!$A$2:$A$49,0)))</f>
        <v>7.8</v>
      </c>
      <c r="L53" s="11" t="n">
        <f aca="false">D53/100*N(INDEX(CoFID!$H$2:$H$49,MATCH(E53,CoFID!$A$2:$A$49,0)))</f>
        <v>7.8</v>
      </c>
      <c r="M53" s="11" t="n">
        <f aca="false">D53/100*N(INDEX(CoFID!$I$2:$I$49,MATCH(E53,CoFID!$A$2:$A$49,0)))</f>
        <v>0</v>
      </c>
      <c r="N53" s="11" t="n">
        <f aca="false">D53/100*N(INDEX(CoFID!$J$2:$J$49,MATCH(E53,CoFID!$A$2:$A$49,0)))</f>
        <v>0.2</v>
      </c>
    </row>
    <row r="54" customFormat="false" ht="15" hidden="false" customHeight="false" outlineLevel="0" collapsed="false">
      <c r="A54" s="2" t="s">
        <v>45</v>
      </c>
      <c r="B54" s="5" t="n">
        <v>2</v>
      </c>
      <c r="C54" s="5" t="s">
        <v>200</v>
      </c>
      <c r="D54" s="5" t="n">
        <v>80</v>
      </c>
      <c r="E54" s="5" t="s">
        <v>91</v>
      </c>
      <c r="F54" s="10" t="str">
        <f aca="false">INDEX(CoFID!$B$2:$B$49,MATCH(E54,CoFID!$A$2:$A$49,0))</f>
        <v>Onions, raw</v>
      </c>
      <c r="G54" s="11" t="n">
        <f aca="false">D54/100*N(INDEX(CoFID!$C$2:$C$49,MATCH(E54,CoFID!$A$2:$A$49,0)))</f>
        <v>28</v>
      </c>
      <c r="H54" s="11" t="n">
        <f aca="false">D54/100*N(INDEX(CoFID!$D$2:$D$49,MATCH(E54,CoFID!$A$2:$A$49,0)))</f>
        <v>0.8</v>
      </c>
      <c r="I54" s="11" t="n">
        <f aca="false">D54/100*N(INDEX(CoFID!$E$2:$E$49,MATCH(E54,CoFID!$A$2:$A$49,0)))</f>
        <v>0.08</v>
      </c>
      <c r="J54" s="11" t="n">
        <f aca="false">D54/100*N(INDEX(CoFID!$F$2:$F$49,MATCH(E54,CoFID!$A$2:$A$49,0)))</f>
        <v>0</v>
      </c>
      <c r="K54" s="11" t="n">
        <f aca="false">D54/100*N(INDEX(CoFID!$G$2:$G$49,MATCH(E54,CoFID!$A$2:$A$49,0)))</f>
        <v>6.4</v>
      </c>
      <c r="L54" s="11" t="n">
        <f aca="false">D54/100*N(INDEX(CoFID!$H$2:$H$49,MATCH(E54,CoFID!$A$2:$A$49,0)))</f>
        <v>4.96</v>
      </c>
      <c r="M54" s="11" t="n">
        <f aca="false">D54/100*N(INDEX(CoFID!$I$2:$I$49,MATCH(E54,CoFID!$A$2:$A$49,0)))</f>
        <v>1.76</v>
      </c>
      <c r="N54" s="11" t="n">
        <f aca="false">D54/100*N(INDEX(CoFID!$J$2:$J$49,MATCH(E54,CoFID!$A$2:$A$49,0)))</f>
        <v>0.0056</v>
      </c>
    </row>
    <row r="55" customFormat="false" ht="15" hidden="false" customHeight="false" outlineLevel="0" collapsed="false">
      <c r="A55" s="2" t="s">
        <v>45</v>
      </c>
      <c r="B55" s="5" t="n">
        <v>2</v>
      </c>
      <c r="C55" s="5" t="s">
        <v>201</v>
      </c>
      <c r="D55" s="5" t="n">
        <v>80</v>
      </c>
      <c r="E55" s="5" t="s">
        <v>87</v>
      </c>
      <c r="F55" s="10" t="str">
        <f aca="false">INDEX(CoFID!$B$2:$B$49,MATCH(E55,CoFID!$A$2:$A$49,0))</f>
        <v>Peppers, capsicum, green, raw</v>
      </c>
      <c r="G55" s="11" t="n">
        <f aca="false">D55/100*N(INDEX(CoFID!$C$2:$C$49,MATCH(E55,CoFID!$A$2:$A$49,0)))</f>
        <v>12</v>
      </c>
      <c r="H55" s="11" t="n">
        <f aca="false">D55/100*N(INDEX(CoFID!$D$2:$D$49,MATCH(E55,CoFID!$A$2:$A$49,0)))</f>
        <v>0.64</v>
      </c>
      <c r="I55" s="11" t="n">
        <f aca="false">D55/100*N(INDEX(CoFID!$E$2:$E$49,MATCH(E55,CoFID!$A$2:$A$49,0)))</f>
        <v>0.24</v>
      </c>
      <c r="J55" s="11" t="n">
        <f aca="false">D55/100*N(INDEX(CoFID!$F$2:$F$49,MATCH(E55,CoFID!$A$2:$A$49,0)))</f>
        <v>0.08</v>
      </c>
      <c r="K55" s="11" t="n">
        <f aca="false">D55/100*N(INDEX(CoFID!$G$2:$G$49,MATCH(E55,CoFID!$A$2:$A$49,0)))</f>
        <v>2.08</v>
      </c>
      <c r="L55" s="11" t="n">
        <f aca="false">D55/100*N(INDEX(CoFID!$H$2:$H$49,MATCH(E55,CoFID!$A$2:$A$49,0)))</f>
        <v>1.92</v>
      </c>
      <c r="M55" s="11" t="n">
        <f aca="false">D55/100*N(INDEX(CoFID!$I$2:$I$49,MATCH(E55,CoFID!$A$2:$A$49,0)))</f>
        <v>1.28</v>
      </c>
      <c r="N55" s="11" t="n">
        <f aca="false">D55/100*N(INDEX(CoFID!$J$2:$J$49,MATCH(E55,CoFID!$A$2:$A$49,0)))</f>
        <v>0.008</v>
      </c>
    </row>
    <row r="56" customFormat="false" ht="15" hidden="false" customHeight="false" outlineLevel="0" collapsed="false">
      <c r="A56" s="2" t="s">
        <v>45</v>
      </c>
      <c r="B56" s="5" t="n">
        <v>2</v>
      </c>
      <c r="C56" s="5" t="s">
        <v>164</v>
      </c>
      <c r="D56" s="5" t="n">
        <v>5</v>
      </c>
      <c r="E56" s="5" t="s">
        <v>115</v>
      </c>
      <c r="F56" s="10" t="str">
        <f aca="false">INDEX(CoFID!$B$2:$B$49,MATCH(E56,CoFID!$A$2:$A$49,0))</f>
        <v>Garam masala</v>
      </c>
      <c r="G56" s="11" t="n">
        <f aca="false">D56/100*N(INDEX(CoFID!$C$2:$C$49,MATCH(E56,CoFID!$A$2:$A$49,0)))</f>
        <v>18.95</v>
      </c>
      <c r="H56" s="11" t="n">
        <f aca="false">D56/100*N(INDEX(CoFID!$D$2:$D$49,MATCH(E56,CoFID!$A$2:$A$49,0)))</f>
        <v>0.78</v>
      </c>
      <c r="I56" s="11" t="n">
        <f aca="false">D56/100*N(INDEX(CoFID!$E$2:$E$49,MATCH(E56,CoFID!$A$2:$A$49,0)))</f>
        <v>0.755</v>
      </c>
      <c r="J56" s="11" t="n">
        <f aca="false">D56/100*N(INDEX(CoFID!$F$2:$F$49,MATCH(E56,CoFID!$A$2:$A$49,0)))</f>
        <v>0</v>
      </c>
      <c r="K56" s="11" t="n">
        <f aca="false">D56/100*N(INDEX(CoFID!$G$2:$G$49,MATCH(E56,CoFID!$A$2:$A$49,0)))</f>
        <v>2.26</v>
      </c>
      <c r="L56" s="11" t="n">
        <f aca="false">D56/100*N(INDEX(CoFID!$H$2:$H$49,MATCH(E56,CoFID!$A$2:$A$49,0)))</f>
        <v>0</v>
      </c>
      <c r="M56" s="11" t="n">
        <f aca="false">D56/100*N(INDEX(CoFID!$I$2:$I$49,MATCH(E56,CoFID!$A$2:$A$49,0)))</f>
        <v>0</v>
      </c>
      <c r="N56" s="11" t="n">
        <f aca="false">D56/100*N(INDEX(CoFID!$J$2:$J$49,MATCH(E56,CoFID!$A$2:$A$49,0)))</f>
        <v>0.0121</v>
      </c>
    </row>
    <row r="57" customFormat="false" ht="15" hidden="false" customHeight="false" outlineLevel="0" collapsed="false">
      <c r="A57" s="2" t="s">
        <v>45</v>
      </c>
      <c r="B57" s="5" t="n">
        <v>2</v>
      </c>
      <c r="C57" s="5" t="s">
        <v>177</v>
      </c>
      <c r="D57" s="5" t="n">
        <v>10</v>
      </c>
      <c r="E57" s="5" t="s">
        <v>151</v>
      </c>
      <c r="F57" s="10" t="str">
        <f aca="false">INDEX(CoFID!$B$2:$B$49,MATCH(E57,CoFID!$A$2:$A$49,0))</f>
        <v>Oil, vegetable, average</v>
      </c>
      <c r="G57" s="11" t="n">
        <f aca="false">D57/100*N(INDEX(CoFID!$C$2:$C$49,MATCH(E57,CoFID!$A$2:$A$49,0)))</f>
        <v>89.9</v>
      </c>
      <c r="H57" s="11" t="n">
        <f aca="false">D57/100*N(INDEX(CoFID!$D$2:$D$49,MATCH(E57,CoFID!$A$2:$A$49,0)))</f>
        <v>0</v>
      </c>
      <c r="I57" s="11" t="n">
        <f aca="false">D57/100*N(INDEX(CoFID!$E$2:$E$49,MATCH(E57,CoFID!$A$2:$A$49,0)))</f>
        <v>9.99</v>
      </c>
      <c r="J57" s="11" t="n">
        <f aca="false">D57/100*N(INDEX(CoFID!$F$2:$F$49,MATCH(E57,CoFID!$A$2:$A$49,0)))</f>
        <v>0.66</v>
      </c>
      <c r="K57" s="11" t="n">
        <f aca="false">D57/100*N(INDEX(CoFID!$G$2:$G$49,MATCH(E57,CoFID!$A$2:$A$49,0)))</f>
        <v>0</v>
      </c>
      <c r="L57" s="11" t="n">
        <f aca="false">D57/100*N(INDEX(CoFID!$H$2:$H$49,MATCH(E57,CoFID!$A$2:$A$49,0)))</f>
        <v>0</v>
      </c>
      <c r="M57" s="11" t="n">
        <f aca="false">D57/100*N(INDEX(CoFID!$I$2:$I$49,MATCH(E57,CoFID!$A$2:$A$49,0)))</f>
        <v>0</v>
      </c>
      <c r="N57" s="11" t="n">
        <f aca="false">D57/100*N(INDEX(CoFID!$J$2:$J$49,MATCH(E57,CoFID!$A$2:$A$49,0)))</f>
        <v>0</v>
      </c>
    </row>
    <row r="58" customFormat="false" ht="15" hidden="false" customHeight="false" outlineLevel="0" collapsed="false">
      <c r="A58" s="2" t="s">
        <v>45</v>
      </c>
      <c r="B58" s="5" t="n">
        <v>2</v>
      </c>
      <c r="C58" s="5" t="s">
        <v>202</v>
      </c>
      <c r="D58" s="5" t="n">
        <v>50</v>
      </c>
      <c r="E58" s="5" t="s">
        <v>97</v>
      </c>
      <c r="F58" s="10" t="str">
        <f aca="false">INDEX(CoFID!$B$2:$B$49,MATCH(E58,CoFID!$A$2:$A$49,0))</f>
        <v>Lettuce, average, raw</v>
      </c>
      <c r="G58" s="11" t="n">
        <f aca="false">D58/100*N(INDEX(CoFID!$C$2:$C$49,MATCH(E58,CoFID!$A$2:$A$49,0)))</f>
        <v>5.5</v>
      </c>
      <c r="H58" s="11" t="n">
        <f aca="false">D58/100*N(INDEX(CoFID!$D$2:$D$49,MATCH(E58,CoFID!$A$2:$A$49,0)))</f>
        <v>0.6</v>
      </c>
      <c r="I58" s="11" t="n">
        <f aca="false">D58/100*N(INDEX(CoFID!$E$2:$E$49,MATCH(E58,CoFID!$A$2:$A$49,0)))</f>
        <v>0.05</v>
      </c>
      <c r="J58" s="11" t="n">
        <f aca="false">D58/100*N(INDEX(CoFID!$F$2:$F$49,MATCH(E58,CoFID!$A$2:$A$49,0)))</f>
        <v>0.015</v>
      </c>
      <c r="K58" s="11" t="n">
        <f aca="false">D58/100*N(INDEX(CoFID!$G$2:$G$49,MATCH(E58,CoFID!$A$2:$A$49,0)))</f>
        <v>0.7</v>
      </c>
      <c r="L58" s="11" t="n">
        <f aca="false">D58/100*N(INDEX(CoFID!$H$2:$H$49,MATCH(E58,CoFID!$A$2:$A$49,0)))</f>
        <v>0.7</v>
      </c>
      <c r="M58" s="11" t="n">
        <f aca="false">D58/100*N(INDEX(CoFID!$I$2:$I$49,MATCH(E58,CoFID!$A$2:$A$49,0)))</f>
        <v>0.75</v>
      </c>
      <c r="N58" s="11" t="n">
        <f aca="false">D58/100*N(INDEX(CoFID!$J$2:$J$49,MATCH(E58,CoFID!$A$2:$A$49,0)))</f>
        <v>0.011</v>
      </c>
    </row>
    <row r="59" customFormat="false" ht="15" hidden="false" customHeight="false" outlineLevel="0" collapsed="false">
      <c r="A59" s="2" t="s">
        <v>46</v>
      </c>
      <c r="B59" s="5" t="n">
        <v>4</v>
      </c>
      <c r="C59" s="5" t="s">
        <v>203</v>
      </c>
      <c r="D59" s="5" t="n">
        <v>400</v>
      </c>
      <c r="E59" s="5" t="s">
        <v>61</v>
      </c>
      <c r="F59" s="10" t="str">
        <f aca="false">INDEX(CoFID!$B$2:$B$49,MATCH(E59,CoFID!$A$2:$A$49,0))</f>
        <v>Pasta, white, dried, raw</v>
      </c>
      <c r="G59" s="11" t="n">
        <f aca="false">D59/100*N(INDEX(CoFID!$C$2:$C$49,MATCH(E59,CoFID!$A$2:$A$49,0)))</f>
        <v>1372</v>
      </c>
      <c r="H59" s="11" t="n">
        <f aca="false">D59/100*N(INDEX(CoFID!$D$2:$D$49,MATCH(E59,CoFID!$A$2:$A$49,0)))</f>
        <v>45.2</v>
      </c>
      <c r="I59" s="11" t="n">
        <f aca="false">D59/100*N(INDEX(CoFID!$E$2:$E$49,MATCH(E59,CoFID!$A$2:$A$49,0)))</f>
        <v>6.4</v>
      </c>
      <c r="J59" s="11" t="n">
        <f aca="false">D59/100*N(INDEX(CoFID!$F$2:$F$49,MATCH(E59,CoFID!$A$2:$A$49,0)))</f>
        <v>0.92</v>
      </c>
      <c r="K59" s="11" t="n">
        <f aca="false">D59/100*N(INDEX(CoFID!$G$2:$G$49,MATCH(E59,CoFID!$A$2:$A$49,0)))</f>
        <v>302.4</v>
      </c>
      <c r="L59" s="11" t="n">
        <f aca="false">D59/100*N(INDEX(CoFID!$H$2:$H$49,MATCH(E59,CoFID!$A$2:$A$49,0)))</f>
        <v>8.4</v>
      </c>
      <c r="M59" s="11" t="n">
        <f aca="false">D59/100*N(INDEX(CoFID!$I$2:$I$49,MATCH(E59,CoFID!$A$2:$A$49,0)))</f>
        <v>14.8</v>
      </c>
      <c r="N59" s="11" t="n">
        <f aca="false">D59/100*N(INDEX(CoFID!$J$2:$J$49,MATCH(E59,CoFID!$A$2:$A$49,0)))</f>
        <v>0.02</v>
      </c>
    </row>
    <row r="60" customFormat="false" ht="15" hidden="false" customHeight="false" outlineLevel="0" collapsed="false">
      <c r="A60" s="2" t="s">
        <v>46</v>
      </c>
      <c r="B60" s="5" t="n">
        <v>4</v>
      </c>
      <c r="C60" s="5" t="s">
        <v>204</v>
      </c>
      <c r="D60" s="5" t="n">
        <v>320</v>
      </c>
      <c r="E60" s="5" t="s">
        <v>133</v>
      </c>
      <c r="F60" s="10" t="str">
        <f aca="false">INDEX(CoFID!$B$2:$B$49,MATCH(E60,CoFID!$A$2:$A$49,0))</f>
        <v>Tuna, canned in brine, drained</v>
      </c>
      <c r="G60" s="11" t="n">
        <f aca="false">D60/100*N(INDEX(CoFID!$C$2:$C$49,MATCH(E60,CoFID!$A$2:$A$49,0)))</f>
        <v>348.8</v>
      </c>
      <c r="H60" s="11" t="n">
        <f aca="false">D60/100*N(INDEX(CoFID!$D$2:$D$49,MATCH(E60,CoFID!$A$2:$A$49,0)))</f>
        <v>79.68</v>
      </c>
      <c r="I60" s="11" t="n">
        <f aca="false">D60/100*N(INDEX(CoFID!$E$2:$E$49,MATCH(E60,CoFID!$A$2:$A$49,0)))</f>
        <v>3.2</v>
      </c>
      <c r="J60" s="11" t="n">
        <f aca="false">D60/100*N(INDEX(CoFID!$F$2:$F$49,MATCH(E60,CoFID!$A$2:$A$49,0)))</f>
        <v>0.96</v>
      </c>
      <c r="K60" s="11" t="n">
        <f aca="false">D60/100*N(INDEX(CoFID!$G$2:$G$49,MATCH(E60,CoFID!$A$2:$A$49,0)))</f>
        <v>0</v>
      </c>
      <c r="L60" s="11" t="n">
        <f aca="false">D60/100*N(INDEX(CoFID!$H$2:$H$49,MATCH(E60,CoFID!$A$2:$A$49,0)))</f>
        <v>0</v>
      </c>
      <c r="M60" s="11" t="n">
        <f aca="false">D60/100*N(INDEX(CoFID!$I$2:$I$49,MATCH(E60,CoFID!$A$2:$A$49,0)))</f>
        <v>0</v>
      </c>
      <c r="N60" s="11" t="n">
        <f aca="false">D60/100*N(INDEX(CoFID!$J$2:$J$49,MATCH(E60,CoFID!$A$2:$A$49,0)))</f>
        <v>2.3456</v>
      </c>
    </row>
    <row r="61" customFormat="false" ht="15" hidden="false" customHeight="false" outlineLevel="0" collapsed="false">
      <c r="A61" s="2" t="s">
        <v>46</v>
      </c>
      <c r="B61" s="5" t="n">
        <v>4</v>
      </c>
      <c r="C61" s="5" t="s">
        <v>205</v>
      </c>
      <c r="D61" s="5" t="n">
        <v>200</v>
      </c>
      <c r="E61" s="5" t="s">
        <v>109</v>
      </c>
      <c r="F61" s="10" t="str">
        <f aca="false">INDEX(CoFID!$B$2:$B$49,MATCH(E61,CoFID!$A$2:$A$49,0))</f>
        <v>Sweetcorn, kernels, raw</v>
      </c>
      <c r="G61" s="11" t="n">
        <f aca="false">D61/100*N(INDEX(CoFID!$C$2:$C$49,MATCH(E61,CoFID!$A$2:$A$49,0)))</f>
        <v>120</v>
      </c>
      <c r="H61" s="11" t="n">
        <f aca="false">D61/100*N(INDEX(CoFID!$D$2:$D$49,MATCH(E61,CoFID!$A$2:$A$49,0)))</f>
        <v>6.8</v>
      </c>
      <c r="I61" s="11" t="n">
        <f aca="false">D61/100*N(INDEX(CoFID!$E$2:$E$49,MATCH(E61,CoFID!$A$2:$A$49,0)))</f>
        <v>3.6</v>
      </c>
      <c r="J61" s="11" t="n">
        <f aca="false">D61/100*N(INDEX(CoFID!$F$2:$F$49,MATCH(E61,CoFID!$A$2:$A$49,0)))</f>
        <v>0.4</v>
      </c>
      <c r="K61" s="11" t="n">
        <f aca="false">D61/100*N(INDEX(CoFID!$G$2:$G$49,MATCH(E61,CoFID!$A$2:$A$49,0)))</f>
        <v>16.2</v>
      </c>
      <c r="L61" s="11" t="n">
        <f aca="false">D61/100*N(INDEX(CoFID!$H$2:$H$49,MATCH(E61,CoFID!$A$2:$A$49,0)))</f>
        <v>4</v>
      </c>
      <c r="M61" s="11" t="n">
        <f aca="false">D61/100*N(INDEX(CoFID!$I$2:$I$49,MATCH(E61,CoFID!$A$2:$A$49,0)))</f>
        <v>3</v>
      </c>
      <c r="N61" s="11" t="n">
        <f aca="false">D61/100*N(INDEX(CoFID!$J$2:$J$49,MATCH(E61,CoFID!$A$2:$A$49,0)))</f>
        <v>0.006</v>
      </c>
    </row>
    <row r="62" customFormat="false" ht="15" hidden="false" customHeight="false" outlineLevel="0" collapsed="false">
      <c r="A62" s="2" t="s">
        <v>46</v>
      </c>
      <c r="B62" s="5" t="n">
        <v>4</v>
      </c>
      <c r="C62" s="5" t="s">
        <v>206</v>
      </c>
      <c r="D62" s="5" t="n">
        <v>100</v>
      </c>
      <c r="E62" s="5" t="s">
        <v>77</v>
      </c>
      <c r="F62" s="10" t="str">
        <f aca="false">INDEX(CoFID!$B$2:$B$49,MATCH(E62,CoFID!$A$2:$A$49,0))</f>
        <v>Cheese, Cheddar, English</v>
      </c>
      <c r="G62" s="11" t="n">
        <f aca="false">D62/100*N(INDEX(CoFID!$C$2:$C$49,MATCH(E62,CoFID!$A$2:$A$49,0)))</f>
        <v>416</v>
      </c>
      <c r="H62" s="11" t="n">
        <f aca="false">D62/100*N(INDEX(CoFID!$D$2:$D$49,MATCH(E62,CoFID!$A$2:$A$49,0)))</f>
        <v>25.4</v>
      </c>
      <c r="I62" s="11" t="n">
        <f aca="false">D62/100*N(INDEX(CoFID!$E$2:$E$49,MATCH(E62,CoFID!$A$2:$A$49,0)))</f>
        <v>34.9</v>
      </c>
      <c r="J62" s="11" t="n">
        <f aca="false">D62/100*N(INDEX(CoFID!$F$2:$F$49,MATCH(E62,CoFID!$A$2:$A$49,0)))</f>
        <v>21.68</v>
      </c>
      <c r="K62" s="11" t="n">
        <f aca="false">D62/100*N(INDEX(CoFID!$G$2:$G$49,MATCH(E62,CoFID!$A$2:$A$49,0)))</f>
        <v>0.1</v>
      </c>
      <c r="L62" s="11" t="n">
        <f aca="false">D62/100*N(INDEX(CoFID!$H$2:$H$49,MATCH(E62,CoFID!$A$2:$A$49,0)))</f>
        <v>0.1</v>
      </c>
      <c r="M62" s="11" t="n">
        <f aca="false">D62/100*N(INDEX(CoFID!$I$2:$I$49,MATCH(E62,CoFID!$A$2:$A$49,0)))</f>
        <v>0</v>
      </c>
      <c r="N62" s="11" t="n">
        <f aca="false">D62/100*N(INDEX(CoFID!$J$2:$J$49,MATCH(E62,CoFID!$A$2:$A$49,0)))</f>
        <v>1.808</v>
      </c>
    </row>
    <row r="63" customFormat="false" ht="15" hidden="false" customHeight="false" outlineLevel="0" collapsed="false">
      <c r="A63" s="2" t="s">
        <v>46</v>
      </c>
      <c r="B63" s="5" t="n">
        <v>4</v>
      </c>
      <c r="C63" s="5" t="s">
        <v>190</v>
      </c>
      <c r="D63" s="5" t="n">
        <v>500</v>
      </c>
      <c r="E63" s="5" t="s">
        <v>75</v>
      </c>
      <c r="F63" s="10" t="str">
        <f aca="false">INDEX(CoFID!$B$2:$B$49,MATCH(E63,CoFID!$A$2:$A$49,0))</f>
        <v>Milk, semi-skimmed, pasteurised, average</v>
      </c>
      <c r="G63" s="11" t="n">
        <f aca="false">D63/100*N(INDEX(CoFID!$C$2:$C$49,MATCH(E63,CoFID!$A$2:$A$49,0)))</f>
        <v>230</v>
      </c>
      <c r="H63" s="11" t="n">
        <f aca="false">D63/100*N(INDEX(CoFID!$D$2:$D$49,MATCH(E63,CoFID!$A$2:$A$49,0)))</f>
        <v>17.5</v>
      </c>
      <c r="I63" s="11" t="n">
        <f aca="false">D63/100*N(INDEX(CoFID!$E$2:$E$49,MATCH(E63,CoFID!$A$2:$A$49,0)))</f>
        <v>8.5</v>
      </c>
      <c r="J63" s="11" t="n">
        <f aca="false">D63/100*N(INDEX(CoFID!$F$2:$F$49,MATCH(E63,CoFID!$A$2:$A$49,0)))</f>
        <v>5.35</v>
      </c>
      <c r="K63" s="11" t="n">
        <f aca="false">D63/100*N(INDEX(CoFID!$G$2:$G$49,MATCH(E63,CoFID!$A$2:$A$49,0)))</f>
        <v>23.5</v>
      </c>
      <c r="L63" s="11" t="n">
        <f aca="false">D63/100*N(INDEX(CoFID!$H$2:$H$49,MATCH(E63,CoFID!$A$2:$A$49,0)))</f>
        <v>23.5</v>
      </c>
      <c r="M63" s="11" t="n">
        <f aca="false">D63/100*N(INDEX(CoFID!$I$2:$I$49,MATCH(E63,CoFID!$A$2:$A$49,0)))</f>
        <v>0</v>
      </c>
      <c r="N63" s="11" t="n">
        <f aca="false">D63/100*N(INDEX(CoFID!$J$2:$J$49,MATCH(E63,CoFID!$A$2:$A$49,0)))</f>
        <v>0.535</v>
      </c>
    </row>
    <row r="64" customFormat="false" ht="15" hidden="false" customHeight="false" outlineLevel="0" collapsed="false">
      <c r="A64" s="2" t="s">
        <v>46</v>
      </c>
      <c r="B64" s="5" t="n">
        <v>4</v>
      </c>
      <c r="C64" s="5" t="s">
        <v>182</v>
      </c>
      <c r="D64" s="5" t="n">
        <v>40</v>
      </c>
      <c r="E64" s="5" t="s">
        <v>149</v>
      </c>
      <c r="F64" s="10" t="str">
        <f aca="false">INDEX(CoFID!$B$2:$B$49,MATCH(E64,CoFID!$A$2:$A$49,0))</f>
        <v>Butter, salted</v>
      </c>
      <c r="G64" s="11" t="n">
        <f aca="false">D64/100*N(INDEX(CoFID!$C$2:$C$49,MATCH(E64,CoFID!$A$2:$A$49,0)))</f>
        <v>297.6</v>
      </c>
      <c r="H64" s="11" t="n">
        <f aca="false">D64/100*N(INDEX(CoFID!$D$2:$D$49,MATCH(E64,CoFID!$A$2:$A$49,0)))</f>
        <v>0.24</v>
      </c>
      <c r="I64" s="11" t="n">
        <f aca="false">D64/100*N(INDEX(CoFID!$E$2:$E$49,MATCH(E64,CoFID!$A$2:$A$49,0)))</f>
        <v>32.88</v>
      </c>
      <c r="J64" s="11" t="n">
        <f aca="false">D64/100*N(INDEX(CoFID!$F$2:$F$49,MATCH(E64,CoFID!$A$2:$A$49,0)))</f>
        <v>20.836</v>
      </c>
      <c r="K64" s="11" t="n">
        <f aca="false">D64/100*N(INDEX(CoFID!$G$2:$G$49,MATCH(E64,CoFID!$A$2:$A$49,0)))</f>
        <v>0.24</v>
      </c>
      <c r="L64" s="11" t="n">
        <f aca="false">D64/100*N(INDEX(CoFID!$H$2:$H$49,MATCH(E64,CoFID!$A$2:$A$49,0)))</f>
        <v>0.24</v>
      </c>
      <c r="M64" s="11" t="n">
        <f aca="false">D64/100*N(INDEX(CoFID!$I$2:$I$49,MATCH(E64,CoFID!$A$2:$A$49,0)))</f>
        <v>0</v>
      </c>
      <c r="N64" s="11" t="n">
        <f aca="false">D64/100*N(INDEX(CoFID!$J$2:$J$49,MATCH(E64,CoFID!$A$2:$A$49,0)))</f>
        <v>0.73</v>
      </c>
    </row>
    <row r="65" customFormat="false" ht="15" hidden="false" customHeight="false" outlineLevel="0" collapsed="false">
      <c r="A65" s="2" t="s">
        <v>46</v>
      </c>
      <c r="B65" s="5" t="n">
        <v>4</v>
      </c>
      <c r="C65" s="5" t="s">
        <v>207</v>
      </c>
      <c r="D65" s="5" t="n">
        <v>40</v>
      </c>
      <c r="E65" s="5" t="s">
        <v>69</v>
      </c>
      <c r="F65" s="10" t="str">
        <f aca="false">INDEX(CoFID!$B$2:$B$49,MATCH(E65,CoFID!$A$2:$A$49,0))</f>
        <v>Flour, wheat, white, plain, soft</v>
      </c>
      <c r="G65" s="11" t="n">
        <f aca="false">D65/100*N(INDEX(CoFID!$C$2:$C$49,MATCH(E65,CoFID!$A$2:$A$49,0)))</f>
        <v>140.8</v>
      </c>
      <c r="H65" s="11" t="n">
        <f aca="false">D65/100*N(INDEX(CoFID!$D$2:$D$49,MATCH(E65,CoFID!$A$2:$A$49,0)))</f>
        <v>3.64</v>
      </c>
      <c r="I65" s="11" t="n">
        <f aca="false">D65/100*N(INDEX(CoFID!$E$2:$E$49,MATCH(E65,CoFID!$A$2:$A$49,0)))</f>
        <v>0.56</v>
      </c>
      <c r="J65" s="11" t="n">
        <f aca="false">D65/100*N(INDEX(CoFID!$F$2:$F$49,MATCH(E65,CoFID!$A$2:$A$49,0)))</f>
        <v>0.176</v>
      </c>
      <c r="K65" s="11" t="n">
        <f aca="false">D65/100*N(INDEX(CoFID!$G$2:$G$49,MATCH(E65,CoFID!$A$2:$A$49,0)))</f>
        <v>32.36</v>
      </c>
      <c r="L65" s="11" t="n">
        <f aca="false">D65/100*N(INDEX(CoFID!$H$2:$H$49,MATCH(E65,CoFID!$A$2:$A$49,0)))</f>
        <v>0.24</v>
      </c>
      <c r="M65" s="11" t="n">
        <f aca="false">D65/100*N(INDEX(CoFID!$I$2:$I$49,MATCH(E65,CoFID!$A$2:$A$49,0)))</f>
        <v>1.6</v>
      </c>
      <c r="N65" s="11" t="n">
        <f aca="false">D65/100*N(INDEX(CoFID!$J$2:$J$49,MATCH(E65,CoFID!$A$2:$A$49,0)))</f>
        <v>0.002</v>
      </c>
    </row>
    <row r="66" customFormat="false" ht="15" hidden="false" customHeight="false" outlineLevel="0" collapsed="false">
      <c r="A66" s="2" t="s">
        <v>47</v>
      </c>
      <c r="B66" s="5" t="n">
        <v>2</v>
      </c>
      <c r="C66" s="5" t="s">
        <v>207</v>
      </c>
      <c r="D66" s="5" t="n">
        <v>120</v>
      </c>
      <c r="E66" s="5" t="s">
        <v>69</v>
      </c>
      <c r="F66" s="10" t="str">
        <f aca="false">INDEX(CoFID!$B$2:$B$49,MATCH(E66,CoFID!$A$2:$A$49,0))</f>
        <v>Flour, wheat, white, plain, soft</v>
      </c>
      <c r="G66" s="11" t="n">
        <f aca="false">D66/100*N(INDEX(CoFID!$C$2:$C$49,MATCH(E66,CoFID!$A$2:$A$49,0)))</f>
        <v>422.4</v>
      </c>
      <c r="H66" s="11" t="n">
        <f aca="false">D66/100*N(INDEX(CoFID!$D$2:$D$49,MATCH(E66,CoFID!$A$2:$A$49,0)))</f>
        <v>10.92</v>
      </c>
      <c r="I66" s="11" t="n">
        <f aca="false">D66/100*N(INDEX(CoFID!$E$2:$E$49,MATCH(E66,CoFID!$A$2:$A$49,0)))</f>
        <v>1.68</v>
      </c>
      <c r="J66" s="11" t="n">
        <f aca="false">D66/100*N(INDEX(CoFID!$F$2:$F$49,MATCH(E66,CoFID!$A$2:$A$49,0)))</f>
        <v>0.528</v>
      </c>
      <c r="K66" s="11" t="n">
        <f aca="false">D66/100*N(INDEX(CoFID!$G$2:$G$49,MATCH(E66,CoFID!$A$2:$A$49,0)))</f>
        <v>97.08</v>
      </c>
      <c r="L66" s="11" t="n">
        <f aca="false">D66/100*N(INDEX(CoFID!$H$2:$H$49,MATCH(E66,CoFID!$A$2:$A$49,0)))</f>
        <v>0.72</v>
      </c>
      <c r="M66" s="11" t="n">
        <f aca="false">D66/100*N(INDEX(CoFID!$I$2:$I$49,MATCH(E66,CoFID!$A$2:$A$49,0)))</f>
        <v>4.8</v>
      </c>
      <c r="N66" s="11" t="n">
        <f aca="false">D66/100*N(INDEX(CoFID!$J$2:$J$49,MATCH(E66,CoFID!$A$2:$A$49,0)))</f>
        <v>0.006</v>
      </c>
    </row>
    <row r="67" customFormat="false" ht="15" hidden="false" customHeight="false" outlineLevel="0" collapsed="false">
      <c r="A67" s="2" t="s">
        <v>47</v>
      </c>
      <c r="B67" s="5" t="n">
        <v>2</v>
      </c>
      <c r="C67" s="5" t="s">
        <v>189</v>
      </c>
      <c r="D67" s="5" t="n">
        <v>100</v>
      </c>
      <c r="E67" s="5" t="s">
        <v>83</v>
      </c>
      <c r="F67" s="10" t="str">
        <f aca="false">INDEX(CoFID!$B$2:$B$49,MATCH(E67,CoFID!$A$2:$A$49,0))</f>
        <v>Eggs, chicken, whole, raw</v>
      </c>
      <c r="G67" s="11" t="n">
        <f aca="false">D67/100*N(INDEX(CoFID!$C$2:$C$49,MATCH(E67,CoFID!$A$2:$A$49,0)))</f>
        <v>131</v>
      </c>
      <c r="H67" s="11" t="n">
        <f aca="false">D67/100*N(INDEX(CoFID!$D$2:$D$49,MATCH(E67,CoFID!$A$2:$A$49,0)))</f>
        <v>12.6</v>
      </c>
      <c r="I67" s="11" t="n">
        <f aca="false">D67/100*N(INDEX(CoFID!$E$2:$E$49,MATCH(E67,CoFID!$A$2:$A$49,0)))</f>
        <v>9</v>
      </c>
      <c r="J67" s="11" t="n">
        <f aca="false">D67/100*N(INDEX(CoFID!$F$2:$F$49,MATCH(E67,CoFID!$A$2:$A$49,0)))</f>
        <v>2.52</v>
      </c>
      <c r="K67" s="11" t="n">
        <f aca="false">D67/100*N(INDEX(CoFID!$G$2:$G$49,MATCH(E67,CoFID!$A$2:$A$49,0)))</f>
        <v>0</v>
      </c>
      <c r="L67" s="11" t="n">
        <f aca="false">D67/100*N(INDEX(CoFID!$H$2:$H$49,MATCH(E67,CoFID!$A$2:$A$49,0)))</f>
        <v>0</v>
      </c>
      <c r="M67" s="11" t="n">
        <f aca="false">D67/100*N(INDEX(CoFID!$I$2:$I$49,MATCH(E67,CoFID!$A$2:$A$49,0)))</f>
        <v>0</v>
      </c>
      <c r="N67" s="11" t="n">
        <f aca="false">D67/100*N(INDEX(CoFID!$J$2:$J$49,MATCH(E67,CoFID!$A$2:$A$49,0)))</f>
        <v>0.385</v>
      </c>
    </row>
    <row r="68" customFormat="false" ht="15" hidden="false" customHeight="false" outlineLevel="0" collapsed="false">
      <c r="A68" s="2" t="s">
        <v>47</v>
      </c>
      <c r="B68" s="5" t="n">
        <v>2</v>
      </c>
      <c r="C68" s="5" t="s">
        <v>190</v>
      </c>
      <c r="D68" s="5" t="n">
        <v>250</v>
      </c>
      <c r="E68" s="5" t="s">
        <v>75</v>
      </c>
      <c r="F68" s="10" t="str">
        <f aca="false">INDEX(CoFID!$B$2:$B$49,MATCH(E68,CoFID!$A$2:$A$49,0))</f>
        <v>Milk, semi-skimmed, pasteurised, average</v>
      </c>
      <c r="G68" s="11" t="n">
        <f aca="false">D68/100*N(INDEX(CoFID!$C$2:$C$49,MATCH(E68,CoFID!$A$2:$A$49,0)))</f>
        <v>115</v>
      </c>
      <c r="H68" s="11" t="n">
        <f aca="false">D68/100*N(INDEX(CoFID!$D$2:$D$49,MATCH(E68,CoFID!$A$2:$A$49,0)))</f>
        <v>8.75</v>
      </c>
      <c r="I68" s="11" t="n">
        <f aca="false">D68/100*N(INDEX(CoFID!$E$2:$E$49,MATCH(E68,CoFID!$A$2:$A$49,0)))</f>
        <v>4.25</v>
      </c>
      <c r="J68" s="11" t="n">
        <f aca="false">D68/100*N(INDEX(CoFID!$F$2:$F$49,MATCH(E68,CoFID!$A$2:$A$49,0)))</f>
        <v>2.675</v>
      </c>
      <c r="K68" s="11" t="n">
        <f aca="false">D68/100*N(INDEX(CoFID!$G$2:$G$49,MATCH(E68,CoFID!$A$2:$A$49,0)))</f>
        <v>11.75</v>
      </c>
      <c r="L68" s="11" t="n">
        <f aca="false">D68/100*N(INDEX(CoFID!$H$2:$H$49,MATCH(E68,CoFID!$A$2:$A$49,0)))</f>
        <v>11.75</v>
      </c>
      <c r="M68" s="11" t="n">
        <f aca="false">D68/100*N(INDEX(CoFID!$I$2:$I$49,MATCH(E68,CoFID!$A$2:$A$49,0)))</f>
        <v>0</v>
      </c>
      <c r="N68" s="11" t="n">
        <f aca="false">D68/100*N(INDEX(CoFID!$J$2:$J$49,MATCH(E68,CoFID!$A$2:$A$49,0)))</f>
        <v>0.2675</v>
      </c>
    </row>
    <row r="69" customFormat="false" ht="15" hidden="false" customHeight="false" outlineLevel="0" collapsed="false">
      <c r="A69" s="2" t="s">
        <v>47</v>
      </c>
      <c r="B69" s="5" t="n">
        <v>2</v>
      </c>
      <c r="C69" s="5" t="s">
        <v>208</v>
      </c>
      <c r="D69" s="5" t="n">
        <v>30</v>
      </c>
      <c r="E69" s="5" t="s">
        <v>139</v>
      </c>
      <c r="F69" s="10" t="str">
        <f aca="false">INDEX(CoFID!$B$2:$B$49,MATCH(E69,CoFID!$A$2:$A$49,0))</f>
        <v>Sugar, white</v>
      </c>
      <c r="G69" s="11" t="n">
        <f aca="false">D69/100*N(INDEX(CoFID!$C$2:$C$49,MATCH(E69,CoFID!$A$2:$A$49,0)))</f>
        <v>118.2</v>
      </c>
      <c r="H69" s="11" t="n">
        <f aca="false">D69/100*N(INDEX(CoFID!$D$2:$D$49,MATCH(E69,CoFID!$A$2:$A$49,0)))</f>
        <v>0</v>
      </c>
      <c r="I69" s="11" t="n">
        <f aca="false">D69/100*N(INDEX(CoFID!$E$2:$E$49,MATCH(E69,CoFID!$A$2:$A$49,0)))</f>
        <v>0</v>
      </c>
      <c r="J69" s="11" t="n">
        <f aca="false">D69/100*N(INDEX(CoFID!$F$2:$F$49,MATCH(E69,CoFID!$A$2:$A$49,0)))</f>
        <v>0</v>
      </c>
      <c r="K69" s="11" t="n">
        <f aca="false">D69/100*N(INDEX(CoFID!$G$2:$G$49,MATCH(E69,CoFID!$A$2:$A$49,0)))</f>
        <v>31.5</v>
      </c>
      <c r="L69" s="11" t="n">
        <f aca="false">D69/100*N(INDEX(CoFID!$H$2:$H$49,MATCH(E69,CoFID!$A$2:$A$49,0)))</f>
        <v>31.5</v>
      </c>
      <c r="M69" s="11" t="n">
        <f aca="false">D69/100*N(INDEX(CoFID!$I$2:$I$49,MATCH(E69,CoFID!$A$2:$A$49,0)))</f>
        <v>0</v>
      </c>
      <c r="N69" s="11" t="n">
        <f aca="false">D69/100*N(INDEX(CoFID!$J$2:$J$49,MATCH(E69,CoFID!$A$2:$A$49,0)))</f>
        <v>0.0039</v>
      </c>
    </row>
    <row r="70" customFormat="false" ht="15" hidden="false" customHeight="false" outlineLevel="0" collapsed="false">
      <c r="A70" s="2" t="s">
        <v>47</v>
      </c>
      <c r="B70" s="5" t="n">
        <v>2</v>
      </c>
      <c r="C70" s="5" t="s">
        <v>195</v>
      </c>
      <c r="D70" s="5" t="n">
        <v>120</v>
      </c>
      <c r="E70" s="5" t="s">
        <v>127</v>
      </c>
      <c r="F70" s="10" t="str">
        <f aca="false">INDEX(CoFID!$B$2:$B$49,MATCH(E70,CoFID!$A$2:$A$49,0))</f>
        <v>Bananas, flesh only</v>
      </c>
      <c r="G70" s="11" t="n">
        <f aca="false">D70/100*N(INDEX(CoFID!$C$2:$C$49,MATCH(E70,CoFID!$A$2:$A$49,0)))</f>
        <v>97.2</v>
      </c>
      <c r="H70" s="11" t="n">
        <f aca="false">D70/100*N(INDEX(CoFID!$D$2:$D$49,MATCH(E70,CoFID!$A$2:$A$49,0)))</f>
        <v>1.44</v>
      </c>
      <c r="I70" s="11" t="n">
        <f aca="false">D70/100*N(INDEX(CoFID!$E$2:$E$49,MATCH(E70,CoFID!$A$2:$A$49,0)))</f>
        <v>0.12</v>
      </c>
      <c r="J70" s="11" t="n">
        <f aca="false">D70/100*N(INDEX(CoFID!$F$2:$F$49,MATCH(E70,CoFID!$A$2:$A$49,0)))</f>
        <v>0.048</v>
      </c>
      <c r="K70" s="11" t="n">
        <f aca="false">D70/100*N(INDEX(CoFID!$G$2:$G$49,MATCH(E70,CoFID!$A$2:$A$49,0)))</f>
        <v>24.36</v>
      </c>
      <c r="L70" s="11" t="n">
        <f aca="false">D70/100*N(INDEX(CoFID!$H$2:$H$49,MATCH(E70,CoFID!$A$2:$A$49,0)))</f>
        <v>21.72</v>
      </c>
      <c r="M70" s="11" t="n">
        <f aca="false">D70/100*N(INDEX(CoFID!$I$2:$I$49,MATCH(E70,CoFID!$A$2:$A$49,0)))</f>
        <v>1.68</v>
      </c>
      <c r="N70" s="11" t="n">
        <f aca="false">D70/100*N(INDEX(CoFID!$J$2:$J$49,MATCH(E70,CoFID!$A$2:$A$49,0)))</f>
        <v>0</v>
      </c>
    </row>
    <row r="71" customFormat="false" ht="15" hidden="false" customHeight="false" outlineLevel="0" collapsed="false">
      <c r="A71" s="2" t="s">
        <v>47</v>
      </c>
      <c r="B71" s="5" t="n">
        <v>2</v>
      </c>
      <c r="C71" s="5" t="s">
        <v>209</v>
      </c>
      <c r="D71" s="5" t="n">
        <v>40</v>
      </c>
      <c r="E71" s="5" t="s">
        <v>145</v>
      </c>
      <c r="F71" s="10" t="str">
        <f aca="false">INDEX(CoFID!$B$2:$B$49,MATCH(E71,CoFID!$A$2:$A$49,0))</f>
        <v>Chocolate, plain</v>
      </c>
      <c r="G71" s="11" t="n">
        <f aca="false">D71/100*N(INDEX(CoFID!$C$2:$C$49,MATCH(E71,CoFID!$A$2:$A$49,0)))</f>
        <v>204</v>
      </c>
      <c r="H71" s="11" t="n">
        <f aca="false">D71/100*N(INDEX(CoFID!$D$2:$D$49,MATCH(E71,CoFID!$A$2:$A$49,0)))</f>
        <v>2</v>
      </c>
      <c r="I71" s="11" t="n">
        <f aca="false">D71/100*N(INDEX(CoFID!$E$2:$E$49,MATCH(E71,CoFID!$A$2:$A$49,0)))</f>
        <v>11.2</v>
      </c>
      <c r="J71" s="11" t="n">
        <f aca="false">D71/100*N(INDEX(CoFID!$F$2:$F$49,MATCH(E71,CoFID!$A$2:$A$49,0)))</f>
        <v>6.72</v>
      </c>
      <c r="K71" s="11" t="n">
        <f aca="false">D71/100*N(INDEX(CoFID!$G$2:$G$49,MATCH(E71,CoFID!$A$2:$A$49,0)))</f>
        <v>25.4</v>
      </c>
      <c r="L71" s="11" t="n">
        <f aca="false">D71/100*N(INDEX(CoFID!$H$2:$H$49,MATCH(E71,CoFID!$A$2:$A$49,0)))</f>
        <v>25.04</v>
      </c>
      <c r="M71" s="11" t="n">
        <f aca="false">D71/100*N(INDEX(CoFID!$I$2:$I$49,MATCH(E71,CoFID!$A$2:$A$49,0)))</f>
        <v>1</v>
      </c>
      <c r="N71" s="11" t="n">
        <f aca="false">D71/100*N(INDEX(CoFID!$J$2:$J$49,MATCH(E71,CoFID!$A$2:$A$49,0)))</f>
        <v>0.006</v>
      </c>
    </row>
    <row r="72" customFormat="false" ht="15" hidden="false" customHeight="false" outlineLevel="0" collapsed="false">
      <c r="A72" s="2" t="s">
        <v>47</v>
      </c>
      <c r="B72" s="5" t="n">
        <v>2</v>
      </c>
      <c r="C72" s="5" t="s">
        <v>182</v>
      </c>
      <c r="D72" s="5" t="n">
        <v>20</v>
      </c>
      <c r="E72" s="5" t="s">
        <v>149</v>
      </c>
      <c r="F72" s="10" t="str">
        <f aca="false">INDEX(CoFID!$B$2:$B$49,MATCH(E72,CoFID!$A$2:$A$49,0))</f>
        <v>Butter, salted</v>
      </c>
      <c r="G72" s="11" t="n">
        <f aca="false">D72/100*N(INDEX(CoFID!$C$2:$C$49,MATCH(E72,CoFID!$A$2:$A$49,0)))</f>
        <v>148.8</v>
      </c>
      <c r="H72" s="11" t="n">
        <f aca="false">D72/100*N(INDEX(CoFID!$D$2:$D$49,MATCH(E72,CoFID!$A$2:$A$49,0)))</f>
        <v>0.12</v>
      </c>
      <c r="I72" s="11" t="n">
        <f aca="false">D72/100*N(INDEX(CoFID!$E$2:$E$49,MATCH(E72,CoFID!$A$2:$A$49,0)))</f>
        <v>16.44</v>
      </c>
      <c r="J72" s="11" t="n">
        <f aca="false">D72/100*N(INDEX(CoFID!$F$2:$F$49,MATCH(E72,CoFID!$A$2:$A$49,0)))</f>
        <v>10.418</v>
      </c>
      <c r="K72" s="11" t="n">
        <f aca="false">D72/100*N(INDEX(CoFID!$G$2:$G$49,MATCH(E72,CoFID!$A$2:$A$49,0)))</f>
        <v>0.12</v>
      </c>
      <c r="L72" s="11" t="n">
        <f aca="false">D72/100*N(INDEX(CoFID!$H$2:$H$49,MATCH(E72,CoFID!$A$2:$A$49,0)))</f>
        <v>0.12</v>
      </c>
      <c r="M72" s="11" t="n">
        <f aca="false">D72/100*N(INDEX(CoFID!$I$2:$I$49,MATCH(E72,CoFID!$A$2:$A$49,0)))</f>
        <v>0</v>
      </c>
      <c r="N72" s="11" t="n">
        <f aca="false">D72/100*N(INDEX(CoFID!$J$2:$J$49,MATCH(E72,CoFID!$A$2:$A$49,0)))</f>
        <v>0.365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8" t="s">
        <v>16</v>
      </c>
      <c r="B1" s="8" t="s">
        <v>17</v>
      </c>
      <c r="C1" s="8" t="s">
        <v>210</v>
      </c>
      <c r="D1" s="8" t="s">
        <v>211</v>
      </c>
      <c r="E1" s="8" t="s">
        <v>212</v>
      </c>
      <c r="F1" s="8" t="s">
        <v>213</v>
      </c>
      <c r="G1" s="8" t="s">
        <v>214</v>
      </c>
    </row>
    <row r="2" customFormat="false" ht="15" hidden="false" customHeight="false" outlineLevel="0" collapsed="false">
      <c r="A2" s="2" t="s">
        <v>25</v>
      </c>
      <c r="B2" s="2" t="n">
        <v>2</v>
      </c>
      <c r="C2" s="2" t="s">
        <v>53</v>
      </c>
      <c r="D2" s="12" t="n">
        <f aca="false">SUMIFS(Recipes!$G$2:$G$72,Recipes!$A$2:$A$72,A2)/B2</f>
        <v>606.75</v>
      </c>
      <c r="E2" s="9" t="n">
        <v>606.75</v>
      </c>
      <c r="F2" s="12" t="n">
        <f aca="false">E2-D2</f>
        <v>0</v>
      </c>
      <c r="G2" s="7" t="str">
        <f aca="false">IF(ABS(F2)&lt;=MAX(0.05,ABS(D2)*0.005),"Yes","NO")</f>
        <v>Yes</v>
      </c>
    </row>
    <row r="3" customFormat="false" ht="15" hidden="false" customHeight="false" outlineLevel="0" collapsed="false">
      <c r="A3" s="2" t="s">
        <v>25</v>
      </c>
      <c r="B3" s="2" t="n">
        <v>2</v>
      </c>
      <c r="C3" s="2" t="s">
        <v>54</v>
      </c>
      <c r="D3" s="12" t="n">
        <f aca="false">SUMIFS(Recipes!$H$2:$H$72,Recipes!$A$2:$A$72,A3)/B3</f>
        <v>46.4825</v>
      </c>
      <c r="E3" s="9" t="n">
        <v>46.48</v>
      </c>
      <c r="F3" s="12" t="n">
        <f aca="false">E3-D3</f>
        <v>-0.00250000000000483</v>
      </c>
      <c r="G3" s="7" t="str">
        <f aca="false">IF(ABS(F3)&lt;=MAX(0.05,ABS(D3)*0.005),"Yes","NO")</f>
        <v>Yes</v>
      </c>
    </row>
    <row r="4" customFormat="false" ht="15" hidden="false" customHeight="false" outlineLevel="0" collapsed="false">
      <c r="A4" s="2" t="s">
        <v>25</v>
      </c>
      <c r="B4" s="2" t="n">
        <v>2</v>
      </c>
      <c r="C4" s="2" t="s">
        <v>55</v>
      </c>
      <c r="D4" s="12" t="n">
        <f aca="false">SUMIFS(Recipes!$I$2:$I$72,Recipes!$A$2:$A$72,A4)/B4</f>
        <v>10.465</v>
      </c>
      <c r="E4" s="9" t="n">
        <v>10.46</v>
      </c>
      <c r="F4" s="12" t="n">
        <f aca="false">E4-D4</f>
        <v>-0.00499999999999901</v>
      </c>
      <c r="G4" s="7" t="str">
        <f aca="false">IF(ABS(F4)&lt;=MAX(0.05,ABS(D4)*0.005),"Yes","NO")</f>
        <v>Yes</v>
      </c>
    </row>
    <row r="5" customFormat="false" ht="15" hidden="false" customHeight="false" outlineLevel="0" collapsed="false">
      <c r="A5" s="2" t="s">
        <v>25</v>
      </c>
      <c r="B5" s="2" t="n">
        <v>2</v>
      </c>
      <c r="C5" s="2" t="s">
        <v>56</v>
      </c>
      <c r="D5" s="12" t="n">
        <f aca="false">SUMIFS(Recipes!$J$2:$J$72,Recipes!$A$2:$A$72,A5)/B5</f>
        <v>1.72</v>
      </c>
      <c r="E5" s="9" t="n">
        <v>1.72</v>
      </c>
      <c r="F5" s="12" t="n">
        <f aca="false">E5-D5</f>
        <v>0</v>
      </c>
      <c r="G5" s="7" t="str">
        <f aca="false">IF(ABS(F5)&lt;=MAX(0.05,ABS(D5)*0.005),"Yes","NO")</f>
        <v>Yes</v>
      </c>
    </row>
    <row r="6" customFormat="false" ht="15" hidden="false" customHeight="false" outlineLevel="0" collapsed="false">
      <c r="A6" s="2" t="s">
        <v>25</v>
      </c>
      <c r="B6" s="2" t="n">
        <v>2</v>
      </c>
      <c r="C6" s="2" t="s">
        <v>57</v>
      </c>
      <c r="D6" s="12" t="n">
        <f aca="false">SUMIFS(Recipes!$K$2:$K$72,Recipes!$A$2:$A$72,A6)/B6</f>
        <v>86.8525</v>
      </c>
      <c r="E6" s="9" t="n">
        <v>86.85</v>
      </c>
      <c r="F6" s="12" t="n">
        <f aca="false">E6-D6</f>
        <v>-0.00250000000001194</v>
      </c>
      <c r="G6" s="7" t="str">
        <f aca="false">IF(ABS(F6)&lt;=MAX(0.05,ABS(D6)*0.005),"Yes","NO")</f>
        <v>Yes</v>
      </c>
    </row>
    <row r="7" customFormat="false" ht="15" hidden="false" customHeight="false" outlineLevel="0" collapsed="false">
      <c r="A7" s="2" t="s">
        <v>25</v>
      </c>
      <c r="B7" s="2" t="n">
        <v>2</v>
      </c>
      <c r="C7" s="2" t="s">
        <v>58</v>
      </c>
      <c r="D7" s="12" t="n">
        <f aca="false">SUMIFS(Recipes!$L$2:$L$72,Recipes!$A$2:$A$72,A7)/B7</f>
        <v>0.97</v>
      </c>
      <c r="E7" s="9" t="n">
        <v>0.97</v>
      </c>
      <c r="F7" s="12" t="n">
        <f aca="false">E7-D7</f>
        <v>0</v>
      </c>
      <c r="G7" s="7" t="str">
        <f aca="false">IF(ABS(F7)&lt;=MAX(0.05,ABS(D7)*0.005),"Yes","NO")</f>
        <v>Yes</v>
      </c>
    </row>
    <row r="8" customFormat="false" ht="15" hidden="false" customHeight="false" outlineLevel="0" collapsed="false">
      <c r="A8" s="2" t="s">
        <v>25</v>
      </c>
      <c r="B8" s="2" t="n">
        <v>2</v>
      </c>
      <c r="C8" s="2" t="s">
        <v>59</v>
      </c>
      <c r="D8" s="12" t="n">
        <f aca="false">SUMIFS(Recipes!$M$2:$M$72,Recipes!$A$2:$A$72,A8)/B8</f>
        <v>2.4575</v>
      </c>
      <c r="E8" s="9" t="n">
        <v>2.46</v>
      </c>
      <c r="F8" s="12" t="n">
        <f aca="false">E8-D8</f>
        <v>0.00249999999999995</v>
      </c>
      <c r="G8" s="7" t="str">
        <f aca="false">IF(ABS(F8)&lt;=MAX(0.05,ABS(D8)*0.005),"Yes","NO")</f>
        <v>Yes</v>
      </c>
    </row>
    <row r="9" customFormat="false" ht="15" hidden="false" customHeight="false" outlineLevel="0" collapsed="false">
      <c r="A9" s="2" t="s">
        <v>25</v>
      </c>
      <c r="B9" s="2" t="n">
        <v>2</v>
      </c>
      <c r="C9" s="2" t="s">
        <v>60</v>
      </c>
      <c r="D9" s="12" t="n">
        <f aca="false">SUMIFS(Recipes!$N$2:$N$72,Recipes!$A$2:$A$72,A9)/B9</f>
        <v>1.3923</v>
      </c>
      <c r="E9" s="9" t="n">
        <v>1.39</v>
      </c>
      <c r="F9" s="12" t="n">
        <f aca="false">E9-D9</f>
        <v>-0.00230000000000019</v>
      </c>
      <c r="G9" s="7" t="str">
        <f aca="false">IF(ABS(F9)&lt;=MAX(0.05,ABS(D9)*0.005),"Yes","NO")</f>
        <v>Yes</v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2" t="s">
        <v>29</v>
      </c>
      <c r="B11" s="2" t="n">
        <v>4</v>
      </c>
      <c r="C11" s="2" t="s">
        <v>53</v>
      </c>
      <c r="D11" s="12" t="n">
        <f aca="false">SUMIFS(Recipes!$G$2:$G$72,Recipes!$A$2:$A$72,A11)/B11</f>
        <v>737.1875</v>
      </c>
      <c r="E11" s="9" t="n">
        <v>737.19</v>
      </c>
      <c r="F11" s="12" t="n">
        <f aca="false">E11-D11</f>
        <v>0.00250000000005457</v>
      </c>
      <c r="G11" s="7" t="str">
        <f aca="false">IF(ABS(F11)&lt;=MAX(0.05,ABS(D11)*0.005),"Yes","NO")</f>
        <v>Yes</v>
      </c>
    </row>
    <row r="12" customFormat="false" ht="15" hidden="false" customHeight="false" outlineLevel="0" collapsed="false">
      <c r="A12" s="2" t="s">
        <v>29</v>
      </c>
      <c r="B12" s="2" t="n">
        <v>4</v>
      </c>
      <c r="C12" s="2" t="s">
        <v>54</v>
      </c>
      <c r="D12" s="12" t="n">
        <f aca="false">SUMIFS(Recipes!$H$2:$H$72,Recipes!$A$2:$A$72,A12)/B12</f>
        <v>40.7675</v>
      </c>
      <c r="E12" s="9" t="n">
        <v>40.77</v>
      </c>
      <c r="F12" s="12" t="n">
        <f aca="false">E12-D12</f>
        <v>0.00250000000000483</v>
      </c>
      <c r="G12" s="7" t="str">
        <f aca="false">IF(ABS(F12)&lt;=MAX(0.05,ABS(D12)*0.005),"Yes","NO")</f>
        <v>Yes</v>
      </c>
    </row>
    <row r="13" customFormat="false" ht="15" hidden="false" customHeight="false" outlineLevel="0" collapsed="false">
      <c r="A13" s="2" t="s">
        <v>29</v>
      </c>
      <c r="B13" s="2" t="n">
        <v>4</v>
      </c>
      <c r="C13" s="2" t="s">
        <v>55</v>
      </c>
      <c r="D13" s="12" t="n">
        <f aca="false">SUMIFS(Recipes!$I$2:$I$72,Recipes!$A$2:$A$72,A13)/B13</f>
        <v>28.09125</v>
      </c>
      <c r="E13" s="9" t="n">
        <v>28.09</v>
      </c>
      <c r="F13" s="12" t="n">
        <f aca="false">E13-D13</f>
        <v>-0.00124999999999886</v>
      </c>
      <c r="G13" s="7" t="str">
        <f aca="false">IF(ABS(F13)&lt;=MAX(0.05,ABS(D13)*0.005),"Yes","NO")</f>
        <v>Yes</v>
      </c>
    </row>
    <row r="14" customFormat="false" ht="15" hidden="false" customHeight="false" outlineLevel="0" collapsed="false">
      <c r="A14" s="2" t="s">
        <v>29</v>
      </c>
      <c r="B14" s="2" t="n">
        <v>4</v>
      </c>
      <c r="C14" s="2" t="s">
        <v>56</v>
      </c>
      <c r="D14" s="12" t="n">
        <f aca="false">SUMIFS(Recipes!$J$2:$J$72,Recipes!$A$2:$A$72,A14)/B14</f>
        <v>10.9255</v>
      </c>
      <c r="E14" s="9" t="n">
        <v>10.93</v>
      </c>
      <c r="F14" s="12" t="n">
        <f aca="false">E14-D14</f>
        <v>0.00449999999999839</v>
      </c>
      <c r="G14" s="7" t="str">
        <f aca="false">IF(ABS(F14)&lt;=MAX(0.05,ABS(D14)*0.005),"Yes","NO")</f>
        <v>Yes</v>
      </c>
    </row>
    <row r="15" customFormat="false" ht="15" hidden="false" customHeight="false" outlineLevel="0" collapsed="false">
      <c r="A15" s="2" t="s">
        <v>29</v>
      </c>
      <c r="B15" s="2" t="n">
        <v>4</v>
      </c>
      <c r="C15" s="2" t="s">
        <v>57</v>
      </c>
      <c r="D15" s="12" t="n">
        <f aca="false">SUMIFS(Recipes!$K$2:$K$72,Recipes!$A$2:$A$72,A15)/B15</f>
        <v>85.7675</v>
      </c>
      <c r="E15" s="9" t="n">
        <v>85.77</v>
      </c>
      <c r="F15" s="12" t="n">
        <f aca="false">E15-D15</f>
        <v>0.00249999999999773</v>
      </c>
      <c r="G15" s="7" t="str">
        <f aca="false">IF(ABS(F15)&lt;=MAX(0.05,ABS(D15)*0.005),"Yes","NO")</f>
        <v>Yes</v>
      </c>
    </row>
    <row r="16" customFormat="false" ht="15" hidden="false" customHeight="false" outlineLevel="0" collapsed="false">
      <c r="A16" s="2" t="s">
        <v>29</v>
      </c>
      <c r="B16" s="2" t="n">
        <v>4</v>
      </c>
      <c r="C16" s="2" t="s">
        <v>58</v>
      </c>
      <c r="D16" s="12" t="n">
        <f aca="false">SUMIFS(Recipes!$L$2:$L$72,Recipes!$A$2:$A$72,A16)/B16</f>
        <v>11.1</v>
      </c>
      <c r="E16" s="9" t="n">
        <v>11.1</v>
      </c>
      <c r="F16" s="12" t="n">
        <f aca="false">E16-D16</f>
        <v>0</v>
      </c>
      <c r="G16" s="7" t="str">
        <f aca="false">IF(ABS(F16)&lt;=MAX(0.05,ABS(D16)*0.005),"Yes","NO")</f>
        <v>Yes</v>
      </c>
    </row>
    <row r="17" customFormat="false" ht="15" hidden="false" customHeight="false" outlineLevel="0" collapsed="false">
      <c r="A17" s="2" t="s">
        <v>29</v>
      </c>
      <c r="B17" s="2" t="n">
        <v>4</v>
      </c>
      <c r="C17" s="2" t="s">
        <v>59</v>
      </c>
      <c r="D17" s="12" t="n">
        <f aca="false">SUMIFS(Recipes!$M$2:$M$72,Recipes!$A$2:$A$72,A17)/B17</f>
        <v>6.755</v>
      </c>
      <c r="E17" s="9" t="n">
        <v>6.75</v>
      </c>
      <c r="F17" s="12" t="n">
        <f aca="false">E17-D17</f>
        <v>-0.00499999999999989</v>
      </c>
      <c r="G17" s="7" t="str">
        <f aca="false">IF(ABS(F17)&lt;=MAX(0.05,ABS(D17)*0.005),"Yes","NO")</f>
        <v>Yes</v>
      </c>
    </row>
    <row r="18" customFormat="false" ht="15" hidden="false" customHeight="false" outlineLevel="0" collapsed="false">
      <c r="A18" s="2" t="s">
        <v>29</v>
      </c>
      <c r="B18" s="2" t="n">
        <v>4</v>
      </c>
      <c r="C18" s="2" t="s">
        <v>60</v>
      </c>
      <c r="D18" s="12" t="n">
        <f aca="false">SUMIFS(Recipes!$N$2:$N$72,Recipes!$A$2:$A$72,A18)/B18</f>
        <v>0.420775</v>
      </c>
      <c r="E18" s="9" t="n">
        <v>0.42</v>
      </c>
      <c r="F18" s="12" t="n">
        <f aca="false">E18-D18</f>
        <v>-0.000775000000000026</v>
      </c>
      <c r="G18" s="7" t="str">
        <f aca="false">IF(ABS(F18)&lt;=MAX(0.05,ABS(D18)*0.005),"Yes","NO")</f>
        <v>Yes</v>
      </c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2" t="s">
        <v>32</v>
      </c>
      <c r="B20" s="2" t="n">
        <v>4</v>
      </c>
      <c r="C20" s="2" t="s">
        <v>53</v>
      </c>
      <c r="D20" s="12" t="n">
        <f aca="false">SUMIFS(Recipes!$G$2:$G$72,Recipes!$A$2:$A$72,A20)/B20</f>
        <v>665.8125</v>
      </c>
      <c r="E20" s="9" t="n">
        <v>665.81</v>
      </c>
      <c r="F20" s="12" t="n">
        <f aca="false">E20-D20</f>
        <v>-0.00250000000005457</v>
      </c>
      <c r="G20" s="7" t="str">
        <f aca="false">IF(ABS(F20)&lt;=MAX(0.05,ABS(D20)*0.005),"Yes","NO")</f>
        <v>Yes</v>
      </c>
    </row>
    <row r="21" customFormat="false" ht="15" hidden="false" customHeight="false" outlineLevel="0" collapsed="false">
      <c r="A21" s="2" t="s">
        <v>32</v>
      </c>
      <c r="B21" s="2" t="n">
        <v>4</v>
      </c>
      <c r="C21" s="2" t="s">
        <v>54</v>
      </c>
      <c r="D21" s="12" t="n">
        <f aca="false">SUMIFS(Recipes!$H$2:$H$72,Recipes!$A$2:$A$72,A21)/B21</f>
        <v>18.1825</v>
      </c>
      <c r="E21" s="9" t="n">
        <v>18.18</v>
      </c>
      <c r="F21" s="12" t="n">
        <f aca="false">E21-D21</f>
        <v>-0.00250000000000128</v>
      </c>
      <c r="G21" s="7" t="str">
        <f aca="false">IF(ABS(F21)&lt;=MAX(0.05,ABS(D21)*0.005),"Yes","NO")</f>
        <v>Yes</v>
      </c>
    </row>
    <row r="22" customFormat="false" ht="15" hidden="false" customHeight="false" outlineLevel="0" collapsed="false">
      <c r="A22" s="2" t="s">
        <v>32</v>
      </c>
      <c r="B22" s="2" t="n">
        <v>4</v>
      </c>
      <c r="C22" s="2" t="s">
        <v>55</v>
      </c>
      <c r="D22" s="12" t="n">
        <f aca="false">SUMIFS(Recipes!$I$2:$I$72,Recipes!$A$2:$A$72,A22)/B22</f>
        <v>25.44875</v>
      </c>
      <c r="E22" s="9" t="n">
        <v>25.45</v>
      </c>
      <c r="F22" s="12" t="n">
        <f aca="false">E22-D22</f>
        <v>0.00125000000000242</v>
      </c>
      <c r="G22" s="7" t="str">
        <f aca="false">IF(ABS(F22)&lt;=MAX(0.05,ABS(D22)*0.005),"Yes","NO")</f>
        <v>Yes</v>
      </c>
    </row>
    <row r="23" customFormat="false" ht="15" hidden="false" customHeight="false" outlineLevel="0" collapsed="false">
      <c r="A23" s="2" t="s">
        <v>32</v>
      </c>
      <c r="B23" s="2" t="n">
        <v>4</v>
      </c>
      <c r="C23" s="2" t="s">
        <v>56</v>
      </c>
      <c r="D23" s="12" t="n">
        <f aca="false">SUMIFS(Recipes!$J$2:$J$72,Recipes!$A$2:$A$72,A23)/B23</f>
        <v>15.443</v>
      </c>
      <c r="E23" s="9" t="n">
        <v>15.44</v>
      </c>
      <c r="F23" s="12" t="n">
        <f aca="false">E23-D23</f>
        <v>-0.00300000000000189</v>
      </c>
      <c r="G23" s="7" t="str">
        <f aca="false">IF(ABS(F23)&lt;=MAX(0.05,ABS(D23)*0.005),"Yes","NO")</f>
        <v>Yes</v>
      </c>
    </row>
    <row r="24" customFormat="false" ht="15" hidden="false" customHeight="false" outlineLevel="0" collapsed="false">
      <c r="A24" s="2" t="s">
        <v>32</v>
      </c>
      <c r="B24" s="2" t="n">
        <v>4</v>
      </c>
      <c r="C24" s="2" t="s">
        <v>57</v>
      </c>
      <c r="D24" s="12" t="n">
        <f aca="false">SUMIFS(Recipes!$K$2:$K$72,Recipes!$A$2:$A$72,A24)/B24</f>
        <v>97.24875</v>
      </c>
      <c r="E24" s="9" t="n">
        <v>97.25</v>
      </c>
      <c r="F24" s="12" t="n">
        <f aca="false">E24-D24</f>
        <v>0.00124999999999886</v>
      </c>
      <c r="G24" s="7" t="str">
        <f aca="false">IF(ABS(F24)&lt;=MAX(0.05,ABS(D24)*0.005),"Yes","NO")</f>
        <v>Yes</v>
      </c>
    </row>
    <row r="25" customFormat="false" ht="15" hidden="false" customHeight="false" outlineLevel="0" collapsed="false">
      <c r="A25" s="2" t="s">
        <v>32</v>
      </c>
      <c r="B25" s="2" t="n">
        <v>4</v>
      </c>
      <c r="C25" s="2" t="s">
        <v>58</v>
      </c>
      <c r="D25" s="12" t="n">
        <f aca="false">SUMIFS(Recipes!$L$2:$L$72,Recipes!$A$2:$A$72,A25)/B25</f>
        <v>9.21875</v>
      </c>
      <c r="E25" s="9" t="n">
        <v>9.22</v>
      </c>
      <c r="F25" s="12" t="n">
        <f aca="false">E25-D25</f>
        <v>0.00125000000000064</v>
      </c>
      <c r="G25" s="7" t="str">
        <f aca="false">IF(ABS(F25)&lt;=MAX(0.05,ABS(D25)*0.005),"Yes","NO")</f>
        <v>Yes</v>
      </c>
    </row>
    <row r="26" customFormat="false" ht="15" hidden="false" customHeight="false" outlineLevel="0" collapsed="false">
      <c r="A26" s="2" t="s">
        <v>32</v>
      </c>
      <c r="B26" s="2" t="n">
        <v>4</v>
      </c>
      <c r="C26" s="2" t="s">
        <v>59</v>
      </c>
      <c r="D26" s="12" t="n">
        <f aca="false">SUMIFS(Recipes!$M$2:$M$72,Recipes!$A$2:$A$72,A26)/B26</f>
        <v>12.1225</v>
      </c>
      <c r="E26" s="9" t="n">
        <v>12.12</v>
      </c>
      <c r="F26" s="12" t="n">
        <f aca="false">E26-D26</f>
        <v>-0.00250000000000128</v>
      </c>
      <c r="G26" s="7" t="str">
        <f aca="false">IF(ABS(F26)&lt;=MAX(0.05,ABS(D26)*0.005),"Yes","NO")</f>
        <v>Yes</v>
      </c>
    </row>
    <row r="27" customFormat="false" ht="15" hidden="false" customHeight="false" outlineLevel="0" collapsed="false">
      <c r="A27" s="2" t="s">
        <v>32</v>
      </c>
      <c r="B27" s="2" t="n">
        <v>4</v>
      </c>
      <c r="C27" s="2" t="s">
        <v>60</v>
      </c>
      <c r="D27" s="12" t="n">
        <f aca="false">SUMIFS(Recipes!$N$2:$N$72,Recipes!$A$2:$A$72,A27)/B27</f>
        <v>0.0510875</v>
      </c>
      <c r="E27" s="9" t="n">
        <v>0.05</v>
      </c>
      <c r="F27" s="12" t="n">
        <f aca="false">E27-D27</f>
        <v>-0.0010875</v>
      </c>
      <c r="G27" s="7" t="str">
        <f aca="false">IF(ABS(F27)&lt;=MAX(0.05,ABS(D27)*0.005),"Yes","NO")</f>
        <v>Yes</v>
      </c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2" t="s">
        <v>34</v>
      </c>
      <c r="B29" s="2" t="n">
        <v>2</v>
      </c>
      <c r="C29" s="2" t="s">
        <v>53</v>
      </c>
      <c r="D29" s="12" t="n">
        <f aca="false">SUMIFS(Recipes!$G$2:$G$72,Recipes!$A$2:$A$72,A29)/B29</f>
        <v>508.6</v>
      </c>
      <c r="E29" s="9" t="n">
        <v>508.6</v>
      </c>
      <c r="F29" s="12" t="n">
        <f aca="false">E29-D29</f>
        <v>0</v>
      </c>
      <c r="G29" s="7" t="str">
        <f aca="false">IF(ABS(F29)&lt;=MAX(0.05,ABS(D29)*0.005),"Yes","NO")</f>
        <v>Yes</v>
      </c>
    </row>
    <row r="30" customFormat="false" ht="15" hidden="false" customHeight="false" outlineLevel="0" collapsed="false">
      <c r="A30" s="2" t="s">
        <v>34</v>
      </c>
      <c r="B30" s="2" t="n">
        <v>2</v>
      </c>
      <c r="C30" s="2" t="s">
        <v>54</v>
      </c>
      <c r="D30" s="12" t="n">
        <f aca="false">SUMIFS(Recipes!$H$2:$H$72,Recipes!$A$2:$A$72,A30)/B30</f>
        <v>34.295</v>
      </c>
      <c r="E30" s="9" t="n">
        <v>34.3</v>
      </c>
      <c r="F30" s="12" t="n">
        <f aca="false">E30-D30</f>
        <v>0.00499999999999545</v>
      </c>
      <c r="G30" s="7" t="str">
        <f aca="false">IF(ABS(F30)&lt;=MAX(0.05,ABS(D30)*0.005),"Yes","NO")</f>
        <v>Yes</v>
      </c>
    </row>
    <row r="31" customFormat="false" ht="15" hidden="false" customHeight="false" outlineLevel="0" collapsed="false">
      <c r="A31" s="2" t="s">
        <v>34</v>
      </c>
      <c r="B31" s="2" t="n">
        <v>2</v>
      </c>
      <c r="C31" s="2" t="s">
        <v>55</v>
      </c>
      <c r="D31" s="12" t="n">
        <f aca="false">SUMIFS(Recipes!$I$2:$I$72,Recipes!$A$2:$A$72,A31)/B31</f>
        <v>26.465</v>
      </c>
      <c r="E31" s="9" t="n">
        <v>26.46</v>
      </c>
      <c r="F31" s="12" t="n">
        <f aca="false">E31-D31</f>
        <v>-0.00499999999999901</v>
      </c>
      <c r="G31" s="7" t="str">
        <f aca="false">IF(ABS(F31)&lt;=MAX(0.05,ABS(D31)*0.005),"Yes","NO")</f>
        <v>Yes</v>
      </c>
    </row>
    <row r="32" customFormat="false" ht="15" hidden="false" customHeight="false" outlineLevel="0" collapsed="false">
      <c r="A32" s="2" t="s">
        <v>34</v>
      </c>
      <c r="B32" s="2" t="n">
        <v>2</v>
      </c>
      <c r="C32" s="2" t="s">
        <v>56</v>
      </c>
      <c r="D32" s="12" t="n">
        <f aca="false">SUMIFS(Recipes!$J$2:$J$72,Recipes!$A$2:$A$72,A32)/B32</f>
        <v>7.73775</v>
      </c>
      <c r="E32" s="9" t="n">
        <v>7.74</v>
      </c>
      <c r="F32" s="12" t="n">
        <f aca="false">E32-D32</f>
        <v>0.00225000000000009</v>
      </c>
      <c r="G32" s="7" t="str">
        <f aca="false">IF(ABS(F32)&lt;=MAX(0.05,ABS(D32)*0.005),"Yes","NO")</f>
        <v>Yes</v>
      </c>
    </row>
    <row r="33" customFormat="false" ht="15" hidden="false" customHeight="false" outlineLevel="0" collapsed="false">
      <c r="A33" s="2" t="s">
        <v>34</v>
      </c>
      <c r="B33" s="2" t="n">
        <v>2</v>
      </c>
      <c r="C33" s="2" t="s">
        <v>57</v>
      </c>
      <c r="D33" s="12" t="n">
        <f aca="false">SUMIFS(Recipes!$K$2:$K$72,Recipes!$A$2:$A$72,A33)/B33</f>
        <v>35.605</v>
      </c>
      <c r="E33" s="9" t="n">
        <v>35.61</v>
      </c>
      <c r="F33" s="12" t="n">
        <f aca="false">E33-D33</f>
        <v>0.00499999999999545</v>
      </c>
      <c r="G33" s="7" t="str">
        <f aca="false">IF(ABS(F33)&lt;=MAX(0.05,ABS(D33)*0.005),"Yes","NO")</f>
        <v>Yes</v>
      </c>
    </row>
    <row r="34" customFormat="false" ht="15" hidden="false" customHeight="false" outlineLevel="0" collapsed="false">
      <c r="A34" s="2" t="s">
        <v>34</v>
      </c>
      <c r="B34" s="2" t="n">
        <v>2</v>
      </c>
      <c r="C34" s="2" t="s">
        <v>58</v>
      </c>
      <c r="D34" s="12" t="n">
        <f aca="false">SUMIFS(Recipes!$L$2:$L$72,Recipes!$A$2:$A$72,A34)/B34</f>
        <v>4.705</v>
      </c>
      <c r="E34" s="9" t="n">
        <v>4.71</v>
      </c>
      <c r="F34" s="12" t="n">
        <f aca="false">E34-D34</f>
        <v>0.00499999999999989</v>
      </c>
      <c r="G34" s="7" t="str">
        <f aca="false">IF(ABS(F34)&lt;=MAX(0.05,ABS(D34)*0.005),"Yes","NO")</f>
        <v>Yes</v>
      </c>
    </row>
    <row r="35" customFormat="false" ht="15" hidden="false" customHeight="false" outlineLevel="0" collapsed="false">
      <c r="A35" s="2" t="s">
        <v>34</v>
      </c>
      <c r="B35" s="2" t="n">
        <v>2</v>
      </c>
      <c r="C35" s="2" t="s">
        <v>59</v>
      </c>
      <c r="D35" s="12" t="n">
        <f aca="false">SUMIFS(Recipes!$M$2:$M$72,Recipes!$A$2:$A$72,A35)/B35</f>
        <v>7.87</v>
      </c>
      <c r="E35" s="9" t="n">
        <v>7.87</v>
      </c>
      <c r="F35" s="12" t="n">
        <f aca="false">E35-D35</f>
        <v>0</v>
      </c>
      <c r="G35" s="7" t="str">
        <f aca="false">IF(ABS(F35)&lt;=MAX(0.05,ABS(D35)*0.005),"Yes","NO")</f>
        <v>Yes</v>
      </c>
    </row>
    <row r="36" customFormat="false" ht="15" hidden="false" customHeight="false" outlineLevel="0" collapsed="false">
      <c r="A36" s="2" t="s">
        <v>34</v>
      </c>
      <c r="B36" s="2" t="n">
        <v>2</v>
      </c>
      <c r="C36" s="2" t="s">
        <v>60</v>
      </c>
      <c r="D36" s="12" t="n">
        <f aca="false">SUMIFS(Recipes!$N$2:$N$72,Recipes!$A$2:$A$72,A36)/B36</f>
        <v>0.312275</v>
      </c>
      <c r="E36" s="9" t="n">
        <v>0.31</v>
      </c>
      <c r="F36" s="12" t="n">
        <f aca="false">E36-D36</f>
        <v>-0.00227500000000003</v>
      </c>
      <c r="G36" s="7" t="str">
        <f aca="false">IF(ABS(F36)&lt;=MAX(0.05,ABS(D36)*0.005),"Yes","NO")</f>
        <v>Yes</v>
      </c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</row>
    <row r="38" customFormat="false" ht="15" hidden="false" customHeight="false" outlineLevel="0" collapsed="false">
      <c r="A38" s="2" t="s">
        <v>36</v>
      </c>
      <c r="B38" s="2" t="n">
        <v>4</v>
      </c>
      <c r="C38" s="2" t="s">
        <v>53</v>
      </c>
      <c r="D38" s="12" t="n">
        <f aca="false">SUMIFS(Recipes!$G$2:$G$72,Recipes!$A$2:$A$72,A38)/B38</f>
        <v>264.45</v>
      </c>
      <c r="E38" s="9" t="n">
        <v>264.45</v>
      </c>
      <c r="F38" s="12" t="n">
        <f aca="false">E38-D38</f>
        <v>0</v>
      </c>
      <c r="G38" s="7" t="str">
        <f aca="false">IF(ABS(F38)&lt;=MAX(0.05,ABS(D38)*0.005),"Yes","NO")</f>
        <v>Yes</v>
      </c>
    </row>
    <row r="39" customFormat="false" ht="15" hidden="false" customHeight="false" outlineLevel="0" collapsed="false">
      <c r="A39" s="2" t="s">
        <v>36</v>
      </c>
      <c r="B39" s="2" t="n">
        <v>4</v>
      </c>
      <c r="C39" s="2" t="s">
        <v>54</v>
      </c>
      <c r="D39" s="12" t="n">
        <f aca="false">SUMIFS(Recipes!$H$2:$H$72,Recipes!$A$2:$A$72,A39)/B39</f>
        <v>17.47875</v>
      </c>
      <c r="E39" s="9" t="n">
        <v>17.48</v>
      </c>
      <c r="F39" s="12" t="n">
        <f aca="false">E39-D39</f>
        <v>0.00124999999999886</v>
      </c>
      <c r="G39" s="7" t="str">
        <f aca="false">IF(ABS(F39)&lt;=MAX(0.05,ABS(D39)*0.005),"Yes","NO")</f>
        <v>Yes</v>
      </c>
    </row>
    <row r="40" customFormat="false" ht="15" hidden="false" customHeight="false" outlineLevel="0" collapsed="false">
      <c r="A40" s="2" t="s">
        <v>36</v>
      </c>
      <c r="B40" s="2" t="n">
        <v>4</v>
      </c>
      <c r="C40" s="2" t="s">
        <v>55</v>
      </c>
      <c r="D40" s="12" t="n">
        <f aca="false">SUMIFS(Recipes!$I$2:$I$72,Recipes!$A$2:$A$72,A40)/B40</f>
        <v>6.49375</v>
      </c>
      <c r="E40" s="9" t="n">
        <v>6.49</v>
      </c>
      <c r="F40" s="12" t="n">
        <f aca="false">E40-D40</f>
        <v>-0.00375000000000014</v>
      </c>
      <c r="G40" s="7" t="str">
        <f aca="false">IF(ABS(F40)&lt;=MAX(0.05,ABS(D40)*0.005),"Yes","NO")</f>
        <v>Yes</v>
      </c>
    </row>
    <row r="41" customFormat="false" ht="15" hidden="false" customHeight="false" outlineLevel="0" collapsed="false">
      <c r="A41" s="2" t="s">
        <v>36</v>
      </c>
      <c r="B41" s="2" t="n">
        <v>4</v>
      </c>
      <c r="C41" s="2" t="s">
        <v>56</v>
      </c>
      <c r="D41" s="12" t="n">
        <f aca="false">SUMIFS(Recipes!$J$2:$J$72,Recipes!$A$2:$A$72,A41)/B41</f>
        <v>3.164</v>
      </c>
      <c r="E41" s="9" t="n">
        <v>3.16</v>
      </c>
      <c r="F41" s="12" t="n">
        <f aca="false">E41-D41</f>
        <v>-0.004</v>
      </c>
      <c r="G41" s="7" t="str">
        <f aca="false">IF(ABS(F41)&lt;=MAX(0.05,ABS(D41)*0.005),"Yes","NO")</f>
        <v>Yes</v>
      </c>
    </row>
    <row r="42" customFormat="false" ht="15" hidden="false" customHeight="false" outlineLevel="0" collapsed="false">
      <c r="A42" s="2" t="s">
        <v>36</v>
      </c>
      <c r="B42" s="2" t="n">
        <v>4</v>
      </c>
      <c r="C42" s="2" t="s">
        <v>57</v>
      </c>
      <c r="D42" s="12" t="n">
        <f aca="false">SUMIFS(Recipes!$K$2:$K$72,Recipes!$A$2:$A$72,A42)/B42</f>
        <v>37.51</v>
      </c>
      <c r="E42" s="9" t="n">
        <v>37.51</v>
      </c>
      <c r="F42" s="12" t="n">
        <f aca="false">E42-D42</f>
        <v>0</v>
      </c>
      <c r="G42" s="7" t="str">
        <f aca="false">IF(ABS(F42)&lt;=MAX(0.05,ABS(D42)*0.005),"Yes","NO")</f>
        <v>Yes</v>
      </c>
    </row>
    <row r="43" customFormat="false" ht="15" hidden="false" customHeight="false" outlineLevel="0" collapsed="false">
      <c r="A43" s="2" t="s">
        <v>36</v>
      </c>
      <c r="B43" s="2" t="n">
        <v>4</v>
      </c>
      <c r="C43" s="2" t="s">
        <v>58</v>
      </c>
      <c r="D43" s="12" t="n">
        <f aca="false">SUMIFS(Recipes!$L$2:$L$72,Recipes!$A$2:$A$72,A43)/B43</f>
        <v>5.14875</v>
      </c>
      <c r="E43" s="9" t="n">
        <v>5.15</v>
      </c>
      <c r="F43" s="12" t="n">
        <f aca="false">E43-D43</f>
        <v>0.00125000000000064</v>
      </c>
      <c r="G43" s="7" t="str">
        <f aca="false">IF(ABS(F43)&lt;=MAX(0.05,ABS(D43)*0.005),"Yes","NO")</f>
        <v>Yes</v>
      </c>
    </row>
    <row r="44" customFormat="false" ht="15" hidden="false" customHeight="false" outlineLevel="0" collapsed="false">
      <c r="A44" s="2" t="s">
        <v>36</v>
      </c>
      <c r="B44" s="2" t="n">
        <v>4</v>
      </c>
      <c r="C44" s="2" t="s">
        <v>59</v>
      </c>
      <c r="D44" s="12" t="n">
        <f aca="false">SUMIFS(Recipes!$M$2:$M$72,Recipes!$A$2:$A$72,A44)/B44</f>
        <v>12.38375</v>
      </c>
      <c r="E44" s="9" t="n">
        <v>12.38</v>
      </c>
      <c r="F44" s="12" t="n">
        <f aca="false">E44-D44</f>
        <v>-0.00375000000000014</v>
      </c>
      <c r="G44" s="7" t="str">
        <f aca="false">IF(ABS(F44)&lt;=MAX(0.05,ABS(D44)*0.005),"Yes","NO")</f>
        <v>Yes</v>
      </c>
    </row>
    <row r="45" customFormat="false" ht="15" hidden="false" customHeight="false" outlineLevel="0" collapsed="false">
      <c r="A45" s="2" t="s">
        <v>36</v>
      </c>
      <c r="B45" s="2" t="n">
        <v>4</v>
      </c>
      <c r="C45" s="2" t="s">
        <v>60</v>
      </c>
      <c r="D45" s="12" t="n">
        <f aca="false">SUMIFS(Recipes!$N$2:$N$72,Recipes!$A$2:$A$72,A45)/B45</f>
        <v>0.0165625</v>
      </c>
      <c r="E45" s="9" t="n">
        <v>0.02</v>
      </c>
      <c r="F45" s="12" t="n">
        <f aca="false">E45-D45</f>
        <v>0.0034375</v>
      </c>
      <c r="G45" s="7" t="str">
        <f aca="false">IF(ABS(F45)&lt;=MAX(0.05,ABS(D45)*0.005),"Yes","NO")</f>
        <v>Yes</v>
      </c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</row>
    <row r="47" customFormat="false" ht="15" hidden="false" customHeight="false" outlineLevel="0" collapsed="false">
      <c r="A47" s="2" t="s">
        <v>39</v>
      </c>
      <c r="B47" s="2" t="n">
        <v>1</v>
      </c>
      <c r="C47" s="2" t="s">
        <v>53</v>
      </c>
      <c r="D47" s="12" t="n">
        <f aca="false">SUMIFS(Recipes!$G$2:$G$72,Recipes!$A$2:$A$72,A47)/B47</f>
        <v>423.5</v>
      </c>
      <c r="E47" s="9" t="n">
        <v>423.5</v>
      </c>
      <c r="F47" s="12" t="n">
        <f aca="false">E47-D47</f>
        <v>0</v>
      </c>
      <c r="G47" s="7" t="str">
        <f aca="false">IF(ABS(F47)&lt;=MAX(0.05,ABS(D47)*0.005),"Yes","NO")</f>
        <v>Yes</v>
      </c>
    </row>
    <row r="48" customFormat="false" ht="15" hidden="false" customHeight="false" outlineLevel="0" collapsed="false">
      <c r="A48" s="2" t="s">
        <v>39</v>
      </c>
      <c r="B48" s="2" t="n">
        <v>1</v>
      </c>
      <c r="C48" s="2" t="s">
        <v>54</v>
      </c>
      <c r="D48" s="12" t="n">
        <f aca="false">SUMIFS(Recipes!$H$2:$H$72,Recipes!$A$2:$A$72,A48)/B48</f>
        <v>28.53</v>
      </c>
      <c r="E48" s="9" t="n">
        <v>28.53</v>
      </c>
      <c r="F48" s="12" t="n">
        <f aca="false">E48-D48</f>
        <v>0</v>
      </c>
      <c r="G48" s="7" t="str">
        <f aca="false">IF(ABS(F48)&lt;=MAX(0.05,ABS(D48)*0.005),"Yes","NO")</f>
        <v>Yes</v>
      </c>
    </row>
    <row r="49" customFormat="false" ht="15" hidden="false" customHeight="false" outlineLevel="0" collapsed="false">
      <c r="A49" s="2" t="s">
        <v>39</v>
      </c>
      <c r="B49" s="2" t="n">
        <v>1</v>
      </c>
      <c r="C49" s="2" t="s">
        <v>55</v>
      </c>
      <c r="D49" s="12" t="n">
        <f aca="false">SUMIFS(Recipes!$I$2:$I$72,Recipes!$A$2:$A$72,A49)/B49</f>
        <v>32.9</v>
      </c>
      <c r="E49" s="9" t="n">
        <v>32.9</v>
      </c>
      <c r="F49" s="12" t="n">
        <f aca="false">E49-D49</f>
        <v>0</v>
      </c>
      <c r="G49" s="7" t="str">
        <f aca="false">IF(ABS(F49)&lt;=MAX(0.05,ABS(D49)*0.005),"Yes","NO")</f>
        <v>Yes</v>
      </c>
    </row>
    <row r="50" customFormat="false" ht="15" hidden="false" customHeight="false" outlineLevel="0" collapsed="false">
      <c r="A50" s="2" t="s">
        <v>39</v>
      </c>
      <c r="B50" s="2" t="n">
        <v>1</v>
      </c>
      <c r="C50" s="2" t="s">
        <v>56</v>
      </c>
      <c r="D50" s="12" t="n">
        <f aca="false">SUMIFS(Recipes!$J$2:$J$72,Recipes!$A$2:$A$72,A50)/B50</f>
        <v>15.859</v>
      </c>
      <c r="E50" s="9" t="n">
        <v>15.86</v>
      </c>
      <c r="F50" s="12" t="n">
        <f aca="false">E50-D50</f>
        <v>0.000999999999999446</v>
      </c>
      <c r="G50" s="7" t="str">
        <f aca="false">IF(ABS(F50)&lt;=MAX(0.05,ABS(D50)*0.005),"Yes","NO")</f>
        <v>Yes</v>
      </c>
    </row>
    <row r="51" customFormat="false" ht="15" hidden="false" customHeight="false" outlineLevel="0" collapsed="false">
      <c r="A51" s="2" t="s">
        <v>39</v>
      </c>
      <c r="B51" s="2" t="n">
        <v>1</v>
      </c>
      <c r="C51" s="2" t="s">
        <v>57</v>
      </c>
      <c r="D51" s="12" t="n">
        <f aca="false">SUMIFS(Recipes!$K$2:$K$72,Recipes!$A$2:$A$72,A51)/B51</f>
        <v>3.8</v>
      </c>
      <c r="E51" s="9" t="n">
        <v>3.8</v>
      </c>
      <c r="F51" s="12" t="n">
        <f aca="false">E51-D51</f>
        <v>0</v>
      </c>
      <c r="G51" s="7" t="str">
        <f aca="false">IF(ABS(F51)&lt;=MAX(0.05,ABS(D51)*0.005),"Yes","NO")</f>
        <v>Yes</v>
      </c>
    </row>
    <row r="52" customFormat="false" ht="15" hidden="false" customHeight="false" outlineLevel="0" collapsed="false">
      <c r="A52" s="2" t="s">
        <v>39</v>
      </c>
      <c r="B52" s="2" t="n">
        <v>1</v>
      </c>
      <c r="C52" s="2" t="s">
        <v>58</v>
      </c>
      <c r="D52" s="12" t="n">
        <f aca="false">SUMIFS(Recipes!$L$2:$L$72,Recipes!$A$2:$A$72,A52)/B52</f>
        <v>3.75</v>
      </c>
      <c r="E52" s="9" t="n">
        <v>3.75</v>
      </c>
      <c r="F52" s="12" t="n">
        <f aca="false">E52-D52</f>
        <v>0</v>
      </c>
      <c r="G52" s="7" t="str">
        <f aca="false">IF(ABS(F52)&lt;=MAX(0.05,ABS(D52)*0.005),"Yes","NO")</f>
        <v>Yes</v>
      </c>
    </row>
    <row r="53" customFormat="false" ht="15" hidden="false" customHeight="false" outlineLevel="0" collapsed="false">
      <c r="A53" s="2" t="s">
        <v>39</v>
      </c>
      <c r="B53" s="2" t="n">
        <v>1</v>
      </c>
      <c r="C53" s="2" t="s">
        <v>59</v>
      </c>
      <c r="D53" s="12" t="n">
        <f aca="false">SUMIFS(Recipes!$M$2:$M$72,Recipes!$A$2:$A$72,A53)/B53</f>
        <v>1.45</v>
      </c>
      <c r="E53" s="9" t="n">
        <v>1.45</v>
      </c>
      <c r="F53" s="12" t="n">
        <f aca="false">E53-D53</f>
        <v>0</v>
      </c>
      <c r="G53" s="7" t="str">
        <f aca="false">IF(ABS(F53)&lt;=MAX(0.05,ABS(D53)*0.005),"Yes","NO")</f>
        <v>Yes</v>
      </c>
    </row>
    <row r="54" customFormat="false" ht="15" hidden="false" customHeight="false" outlineLevel="0" collapsed="false">
      <c r="A54" s="2" t="s">
        <v>39</v>
      </c>
      <c r="B54" s="2" t="n">
        <v>1</v>
      </c>
      <c r="C54" s="2" t="s">
        <v>60</v>
      </c>
      <c r="D54" s="12" t="n">
        <f aca="false">SUMIFS(Recipes!$N$2:$N$72,Recipes!$A$2:$A$72,A54)/B54</f>
        <v>1.341</v>
      </c>
      <c r="E54" s="9" t="n">
        <v>1.34</v>
      </c>
      <c r="F54" s="12" t="n">
        <f aca="false">E54-D54</f>
        <v>-0.00099999999999989</v>
      </c>
      <c r="G54" s="7" t="str">
        <f aca="false">IF(ABS(F54)&lt;=MAX(0.05,ABS(D54)*0.005),"Yes","NO")</f>
        <v>Yes</v>
      </c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</row>
    <row r="56" customFormat="false" ht="15" hidden="false" customHeight="false" outlineLevel="0" collapsed="false">
      <c r="A56" s="2" t="s">
        <v>42</v>
      </c>
      <c r="B56" s="2" t="n">
        <v>2</v>
      </c>
      <c r="C56" s="2" t="s">
        <v>53</v>
      </c>
      <c r="D56" s="12" t="n">
        <f aca="false">SUMIFS(Recipes!$G$2:$G$72,Recipes!$A$2:$A$72,A56)/B56</f>
        <v>382.9</v>
      </c>
      <c r="E56" s="9" t="n">
        <v>382.9</v>
      </c>
      <c r="F56" s="12" t="n">
        <f aca="false">E56-D56</f>
        <v>0</v>
      </c>
      <c r="G56" s="7" t="str">
        <f aca="false">IF(ABS(F56)&lt;=MAX(0.05,ABS(D56)*0.005),"Yes","NO")</f>
        <v>Yes</v>
      </c>
    </row>
    <row r="57" customFormat="false" ht="15" hidden="false" customHeight="false" outlineLevel="0" collapsed="false">
      <c r="A57" s="2" t="s">
        <v>42</v>
      </c>
      <c r="B57" s="2" t="n">
        <v>2</v>
      </c>
      <c r="C57" s="2" t="s">
        <v>54</v>
      </c>
      <c r="D57" s="12" t="n">
        <f aca="false">SUMIFS(Recipes!$H$2:$H$72,Recipes!$A$2:$A$72,A57)/B57</f>
        <v>14.96</v>
      </c>
      <c r="E57" s="9" t="n">
        <v>14.96</v>
      </c>
      <c r="F57" s="12" t="n">
        <f aca="false">E57-D57</f>
        <v>0</v>
      </c>
      <c r="G57" s="7" t="str">
        <f aca="false">IF(ABS(F57)&lt;=MAX(0.05,ABS(D57)*0.005),"Yes","NO")</f>
        <v>Yes</v>
      </c>
    </row>
    <row r="58" customFormat="false" ht="15" hidden="false" customHeight="false" outlineLevel="0" collapsed="false">
      <c r="A58" s="2" t="s">
        <v>42</v>
      </c>
      <c r="B58" s="2" t="n">
        <v>2</v>
      </c>
      <c r="C58" s="2" t="s">
        <v>55</v>
      </c>
      <c r="D58" s="12" t="n">
        <f aca="false">SUMIFS(Recipes!$I$2:$I$72,Recipes!$A$2:$A$72,A58)/B58</f>
        <v>8.36</v>
      </c>
      <c r="E58" s="9" t="n">
        <v>8.36</v>
      </c>
      <c r="F58" s="12" t="n">
        <f aca="false">E58-D58</f>
        <v>0</v>
      </c>
      <c r="G58" s="7" t="str">
        <f aca="false">IF(ABS(F58)&lt;=MAX(0.05,ABS(D58)*0.005),"Yes","NO")</f>
        <v>Yes</v>
      </c>
    </row>
    <row r="59" customFormat="false" ht="15" hidden="false" customHeight="false" outlineLevel="0" collapsed="false">
      <c r="A59" s="2" t="s">
        <v>42</v>
      </c>
      <c r="B59" s="2" t="n">
        <v>2</v>
      </c>
      <c r="C59" s="2" t="s">
        <v>56</v>
      </c>
      <c r="D59" s="12" t="n">
        <f aca="false">SUMIFS(Recipes!$J$2:$J$72,Recipes!$A$2:$A$72,A59)/B59</f>
        <v>3.339</v>
      </c>
      <c r="E59" s="9" t="n">
        <v>3.34</v>
      </c>
      <c r="F59" s="12" t="n">
        <f aca="false">E59-D59</f>
        <v>0.000999999999999446</v>
      </c>
      <c r="G59" s="7" t="str">
        <f aca="false">IF(ABS(F59)&lt;=MAX(0.05,ABS(D59)*0.005),"Yes","NO")</f>
        <v>Yes</v>
      </c>
    </row>
    <row r="60" customFormat="false" ht="15" hidden="false" customHeight="false" outlineLevel="0" collapsed="false">
      <c r="A60" s="2" t="s">
        <v>42</v>
      </c>
      <c r="B60" s="2" t="n">
        <v>2</v>
      </c>
      <c r="C60" s="2" t="s">
        <v>57</v>
      </c>
      <c r="D60" s="12" t="n">
        <f aca="false">SUMIFS(Recipes!$K$2:$K$72,Recipes!$A$2:$A$72,A60)/B60</f>
        <v>66.92</v>
      </c>
      <c r="E60" s="9" t="n">
        <v>66.92</v>
      </c>
      <c r="F60" s="12" t="n">
        <f aca="false">E60-D60</f>
        <v>0</v>
      </c>
      <c r="G60" s="7" t="str">
        <f aca="false">IF(ABS(F60)&lt;=MAX(0.05,ABS(D60)*0.005),"Yes","NO")</f>
        <v>Yes</v>
      </c>
    </row>
    <row r="61" customFormat="false" ht="15" hidden="false" customHeight="false" outlineLevel="0" collapsed="false">
      <c r="A61" s="2" t="s">
        <v>42</v>
      </c>
      <c r="B61" s="2" t="n">
        <v>2</v>
      </c>
      <c r="C61" s="2" t="s">
        <v>58</v>
      </c>
      <c r="D61" s="12" t="n">
        <f aca="false">SUMIFS(Recipes!$L$2:$L$72,Recipes!$A$2:$A$72,A61)/B61</f>
        <v>30.4</v>
      </c>
      <c r="E61" s="9" t="n">
        <v>30.4</v>
      </c>
      <c r="F61" s="12" t="n">
        <f aca="false">E61-D61</f>
        <v>0</v>
      </c>
      <c r="G61" s="7" t="str">
        <f aca="false">IF(ABS(F61)&lt;=MAX(0.05,ABS(D61)*0.005),"Yes","NO")</f>
        <v>Yes</v>
      </c>
    </row>
    <row r="62" customFormat="false" ht="15" hidden="false" customHeight="false" outlineLevel="0" collapsed="false">
      <c r="A62" s="2" t="s">
        <v>42</v>
      </c>
      <c r="B62" s="2" t="n">
        <v>2</v>
      </c>
      <c r="C62" s="2" t="s">
        <v>59</v>
      </c>
      <c r="D62" s="12" t="n">
        <f aca="false">SUMIFS(Recipes!$M$2:$M$72,Recipes!$A$2:$A$72,A62)/B62</f>
        <v>4.74</v>
      </c>
      <c r="E62" s="9" t="n">
        <v>4.74</v>
      </c>
      <c r="F62" s="12" t="n">
        <f aca="false">E62-D62</f>
        <v>0</v>
      </c>
      <c r="G62" s="7" t="str">
        <f aca="false">IF(ABS(F62)&lt;=MAX(0.05,ABS(D62)*0.005),"Yes","NO")</f>
        <v>Yes</v>
      </c>
    </row>
    <row r="63" customFormat="false" ht="15" hidden="false" customHeight="false" outlineLevel="0" collapsed="false">
      <c r="A63" s="2" t="s">
        <v>42</v>
      </c>
      <c r="B63" s="2" t="n">
        <v>2</v>
      </c>
      <c r="C63" s="2" t="s">
        <v>60</v>
      </c>
      <c r="D63" s="12" t="n">
        <f aca="false">SUMIFS(Recipes!$N$2:$N$72,Recipes!$A$2:$A$72,A63)/B63</f>
        <v>0.2718</v>
      </c>
      <c r="E63" s="9" t="n">
        <v>0.27</v>
      </c>
      <c r="F63" s="12" t="n">
        <f aca="false">E63-D63</f>
        <v>-0.00180000000000002</v>
      </c>
      <c r="G63" s="7" t="str">
        <f aca="false">IF(ABS(F63)&lt;=MAX(0.05,ABS(D63)*0.005),"Yes","NO")</f>
        <v>Yes</v>
      </c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</row>
    <row r="65" customFormat="false" ht="15" hidden="false" customHeight="false" outlineLevel="0" collapsed="false">
      <c r="A65" s="2" t="s">
        <v>45</v>
      </c>
      <c r="B65" s="2" t="n">
        <v>2</v>
      </c>
      <c r="C65" s="2" t="s">
        <v>53</v>
      </c>
      <c r="D65" s="12" t="n">
        <f aca="false">SUMIFS(Recipes!$G$2:$G$72,Recipes!$A$2:$A$72,A65)/B65</f>
        <v>615.675</v>
      </c>
      <c r="E65" s="9" t="n">
        <v>615.68</v>
      </c>
      <c r="F65" s="12" t="n">
        <f aca="false">E65-D65</f>
        <v>0.00499999999999545</v>
      </c>
      <c r="G65" s="7" t="str">
        <f aca="false">IF(ABS(F65)&lt;=MAX(0.05,ABS(D65)*0.005),"Yes","NO")</f>
        <v>Yes</v>
      </c>
    </row>
    <row r="66" customFormat="false" ht="15" hidden="false" customHeight="false" outlineLevel="0" collapsed="false">
      <c r="A66" s="2" t="s">
        <v>45</v>
      </c>
      <c r="B66" s="2" t="n">
        <v>2</v>
      </c>
      <c r="C66" s="2" t="s">
        <v>54</v>
      </c>
      <c r="D66" s="12" t="n">
        <f aca="false">SUMIFS(Recipes!$H$2:$H$72,Recipes!$A$2:$A$72,A66)/B66</f>
        <v>34.94</v>
      </c>
      <c r="E66" s="9" t="n">
        <v>34.94</v>
      </c>
      <c r="F66" s="12" t="n">
        <f aca="false">E66-D66</f>
        <v>0</v>
      </c>
      <c r="G66" s="7" t="str">
        <f aca="false">IF(ABS(F66)&lt;=MAX(0.05,ABS(D66)*0.005),"Yes","NO")</f>
        <v>Yes</v>
      </c>
    </row>
    <row r="67" customFormat="false" ht="15" hidden="false" customHeight="false" outlineLevel="0" collapsed="false">
      <c r="A67" s="2" t="s">
        <v>45</v>
      </c>
      <c r="B67" s="2" t="n">
        <v>2</v>
      </c>
      <c r="C67" s="2" t="s">
        <v>55</v>
      </c>
      <c r="D67" s="12" t="n">
        <f aca="false">SUMIFS(Recipes!$I$2:$I$72,Recipes!$A$2:$A$72,A67)/B67</f>
        <v>34.9775</v>
      </c>
      <c r="E67" s="9" t="n">
        <v>34.98</v>
      </c>
      <c r="F67" s="12" t="n">
        <f aca="false">E67-D67</f>
        <v>0.00249999999999773</v>
      </c>
      <c r="G67" s="7" t="str">
        <f aca="false">IF(ABS(F67)&lt;=MAX(0.05,ABS(D67)*0.005),"Yes","NO")</f>
        <v>Yes</v>
      </c>
    </row>
    <row r="68" customFormat="false" ht="15" hidden="false" customHeight="false" outlineLevel="0" collapsed="false">
      <c r="A68" s="2" t="s">
        <v>45</v>
      </c>
      <c r="B68" s="2" t="n">
        <v>2</v>
      </c>
      <c r="C68" s="2" t="s">
        <v>56</v>
      </c>
      <c r="D68" s="12" t="n">
        <f aca="false">SUMIFS(Recipes!$J$2:$J$72,Recipes!$A$2:$A$72,A68)/B68</f>
        <v>18.2625</v>
      </c>
      <c r="E68" s="9" t="n">
        <v>18.26</v>
      </c>
      <c r="F68" s="12" t="n">
        <f aca="false">E68-D68</f>
        <v>-0.00249999999999773</v>
      </c>
      <c r="G68" s="7" t="str">
        <f aca="false">IF(ABS(F68)&lt;=MAX(0.05,ABS(D68)*0.005),"Yes","NO")</f>
        <v>Yes</v>
      </c>
    </row>
    <row r="69" customFormat="false" ht="15" hidden="false" customHeight="false" outlineLevel="0" collapsed="false">
      <c r="A69" s="2" t="s">
        <v>45</v>
      </c>
      <c r="B69" s="2" t="n">
        <v>2</v>
      </c>
      <c r="C69" s="2" t="s">
        <v>57</v>
      </c>
      <c r="D69" s="12" t="n">
        <f aca="false">SUMIFS(Recipes!$K$2:$K$72,Recipes!$A$2:$A$72,A69)/B69</f>
        <v>42.86</v>
      </c>
      <c r="E69" s="9" t="n">
        <v>42.86</v>
      </c>
      <c r="F69" s="12" t="n">
        <f aca="false">E69-D69</f>
        <v>0</v>
      </c>
      <c r="G69" s="7" t="str">
        <f aca="false">IF(ABS(F69)&lt;=MAX(0.05,ABS(D69)*0.005),"Yes","NO")</f>
        <v>Yes</v>
      </c>
    </row>
    <row r="70" customFormat="false" ht="15" hidden="false" customHeight="false" outlineLevel="0" collapsed="false">
      <c r="A70" s="2" t="s">
        <v>45</v>
      </c>
      <c r="B70" s="2" t="n">
        <v>2</v>
      </c>
      <c r="C70" s="2" t="s">
        <v>58</v>
      </c>
      <c r="D70" s="12" t="n">
        <f aca="false">SUMIFS(Recipes!$L$2:$L$72,Recipes!$A$2:$A$72,A70)/B70</f>
        <v>9.79</v>
      </c>
      <c r="E70" s="9" t="n">
        <v>9.79</v>
      </c>
      <c r="F70" s="12" t="n">
        <f aca="false">E70-D70</f>
        <v>0</v>
      </c>
      <c r="G70" s="7" t="str">
        <f aca="false">IF(ABS(F70)&lt;=MAX(0.05,ABS(D70)*0.005),"Yes","NO")</f>
        <v>Yes</v>
      </c>
    </row>
    <row r="71" customFormat="false" ht="15" hidden="false" customHeight="false" outlineLevel="0" collapsed="false">
      <c r="A71" s="2" t="s">
        <v>45</v>
      </c>
      <c r="B71" s="2" t="n">
        <v>2</v>
      </c>
      <c r="C71" s="2" t="s">
        <v>59</v>
      </c>
      <c r="D71" s="12" t="n">
        <f aca="false">SUMIFS(Recipes!$M$2:$M$72,Recipes!$A$2:$A$72,A71)/B71</f>
        <v>4.055</v>
      </c>
      <c r="E71" s="9" t="n">
        <v>4.05</v>
      </c>
      <c r="F71" s="12" t="n">
        <f aca="false">E71-D71</f>
        <v>-0.00500000000000078</v>
      </c>
      <c r="G71" s="7" t="str">
        <f aca="false">IF(ABS(F71)&lt;=MAX(0.05,ABS(D71)*0.005),"Yes","NO")</f>
        <v>Yes</v>
      </c>
    </row>
    <row r="72" customFormat="false" ht="15" hidden="false" customHeight="false" outlineLevel="0" collapsed="false">
      <c r="A72" s="2" t="s">
        <v>45</v>
      </c>
      <c r="B72" s="2" t="n">
        <v>2</v>
      </c>
      <c r="C72" s="2" t="s">
        <v>60</v>
      </c>
      <c r="D72" s="12" t="n">
        <f aca="false">SUMIFS(Recipes!$N$2:$N$72,Recipes!$A$2:$A$72,A72)/B72</f>
        <v>1.09935</v>
      </c>
      <c r="E72" s="9" t="n">
        <v>1.1</v>
      </c>
      <c r="F72" s="12" t="n">
        <f aca="false">E72-D72</f>
        <v>0.000650000000000039</v>
      </c>
      <c r="G72" s="7" t="str">
        <f aca="false">IF(ABS(F72)&lt;=MAX(0.05,ABS(D72)*0.005),"Yes","NO")</f>
        <v>Yes</v>
      </c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</row>
    <row r="74" customFormat="false" ht="15" hidden="false" customHeight="false" outlineLevel="0" collapsed="false">
      <c r="A74" s="2" t="s">
        <v>46</v>
      </c>
      <c r="B74" s="2" t="n">
        <v>4</v>
      </c>
      <c r="C74" s="2" t="s">
        <v>53</v>
      </c>
      <c r="D74" s="12" t="n">
        <f aca="false">SUMIFS(Recipes!$G$2:$G$72,Recipes!$A$2:$A$72,A74)/B74</f>
        <v>731.3</v>
      </c>
      <c r="E74" s="9" t="n">
        <v>731.3</v>
      </c>
      <c r="F74" s="12" t="n">
        <f aca="false">E74-D74</f>
        <v>0</v>
      </c>
      <c r="G74" s="7" t="str">
        <f aca="false">IF(ABS(F74)&lt;=MAX(0.05,ABS(D74)*0.005),"Yes","NO")</f>
        <v>Yes</v>
      </c>
    </row>
    <row r="75" customFormat="false" ht="15" hidden="false" customHeight="false" outlineLevel="0" collapsed="false">
      <c r="A75" s="2" t="s">
        <v>46</v>
      </c>
      <c r="B75" s="2" t="n">
        <v>4</v>
      </c>
      <c r="C75" s="2" t="s">
        <v>54</v>
      </c>
      <c r="D75" s="12" t="n">
        <f aca="false">SUMIFS(Recipes!$H$2:$H$72,Recipes!$A$2:$A$72,A75)/B75</f>
        <v>44.615</v>
      </c>
      <c r="E75" s="9" t="n">
        <v>44.62</v>
      </c>
      <c r="F75" s="12" t="n">
        <f aca="false">E75-D75</f>
        <v>0.00499999999999545</v>
      </c>
      <c r="G75" s="7" t="str">
        <f aca="false">IF(ABS(F75)&lt;=MAX(0.05,ABS(D75)*0.005),"Yes","NO")</f>
        <v>Yes</v>
      </c>
    </row>
    <row r="76" customFormat="false" ht="15" hidden="false" customHeight="false" outlineLevel="0" collapsed="false">
      <c r="A76" s="2" t="s">
        <v>46</v>
      </c>
      <c r="B76" s="2" t="n">
        <v>4</v>
      </c>
      <c r="C76" s="2" t="s">
        <v>55</v>
      </c>
      <c r="D76" s="12" t="n">
        <f aca="false">SUMIFS(Recipes!$I$2:$I$72,Recipes!$A$2:$A$72,A76)/B76</f>
        <v>22.51</v>
      </c>
      <c r="E76" s="9" t="n">
        <v>22.51</v>
      </c>
      <c r="F76" s="12" t="n">
        <f aca="false">E76-D76</f>
        <v>0</v>
      </c>
      <c r="G76" s="7" t="str">
        <f aca="false">IF(ABS(F76)&lt;=MAX(0.05,ABS(D76)*0.005),"Yes","NO")</f>
        <v>Yes</v>
      </c>
    </row>
    <row r="77" customFormat="false" ht="15" hidden="false" customHeight="false" outlineLevel="0" collapsed="false">
      <c r="A77" s="2" t="s">
        <v>46</v>
      </c>
      <c r="B77" s="2" t="n">
        <v>4</v>
      </c>
      <c r="C77" s="2" t="s">
        <v>56</v>
      </c>
      <c r="D77" s="12" t="n">
        <f aca="false">SUMIFS(Recipes!$J$2:$J$72,Recipes!$A$2:$A$72,A77)/B77</f>
        <v>12.5805</v>
      </c>
      <c r="E77" s="9" t="n">
        <v>12.58</v>
      </c>
      <c r="F77" s="12" t="n">
        <f aca="false">E77-D77</f>
        <v>-0.000500000000000611</v>
      </c>
      <c r="G77" s="7" t="str">
        <f aca="false">IF(ABS(F77)&lt;=MAX(0.05,ABS(D77)*0.005),"Yes","NO")</f>
        <v>Yes</v>
      </c>
    </row>
    <row r="78" customFormat="false" ht="15" hidden="false" customHeight="false" outlineLevel="0" collapsed="false">
      <c r="A78" s="2" t="s">
        <v>46</v>
      </c>
      <c r="B78" s="2" t="n">
        <v>4</v>
      </c>
      <c r="C78" s="2" t="s">
        <v>57</v>
      </c>
      <c r="D78" s="12" t="n">
        <f aca="false">SUMIFS(Recipes!$K$2:$K$72,Recipes!$A$2:$A$72,A78)/B78</f>
        <v>93.7</v>
      </c>
      <c r="E78" s="9" t="n">
        <v>93.7</v>
      </c>
      <c r="F78" s="12" t="n">
        <f aca="false">E78-D78</f>
        <v>0</v>
      </c>
      <c r="G78" s="7" t="str">
        <f aca="false">IF(ABS(F78)&lt;=MAX(0.05,ABS(D78)*0.005),"Yes","NO")</f>
        <v>Yes</v>
      </c>
    </row>
    <row r="79" customFormat="false" ht="15" hidden="false" customHeight="false" outlineLevel="0" collapsed="false">
      <c r="A79" s="2" t="s">
        <v>46</v>
      </c>
      <c r="B79" s="2" t="n">
        <v>4</v>
      </c>
      <c r="C79" s="2" t="s">
        <v>58</v>
      </c>
      <c r="D79" s="12" t="n">
        <f aca="false">SUMIFS(Recipes!$L$2:$L$72,Recipes!$A$2:$A$72,A79)/B79</f>
        <v>9.12</v>
      </c>
      <c r="E79" s="9" t="n">
        <v>9.12</v>
      </c>
      <c r="F79" s="12" t="n">
        <f aca="false">E79-D79</f>
        <v>0</v>
      </c>
      <c r="G79" s="7" t="str">
        <f aca="false">IF(ABS(F79)&lt;=MAX(0.05,ABS(D79)*0.005),"Yes","NO")</f>
        <v>Yes</v>
      </c>
    </row>
    <row r="80" customFormat="false" ht="15" hidden="false" customHeight="false" outlineLevel="0" collapsed="false">
      <c r="A80" s="2" t="s">
        <v>46</v>
      </c>
      <c r="B80" s="2" t="n">
        <v>4</v>
      </c>
      <c r="C80" s="2" t="s">
        <v>59</v>
      </c>
      <c r="D80" s="12" t="n">
        <f aca="false">SUMIFS(Recipes!$M$2:$M$72,Recipes!$A$2:$A$72,A80)/B80</f>
        <v>4.85</v>
      </c>
      <c r="E80" s="9" t="n">
        <v>4.85</v>
      </c>
      <c r="F80" s="12" t="n">
        <f aca="false">E80-D80</f>
        <v>0</v>
      </c>
      <c r="G80" s="7" t="str">
        <f aca="false">IF(ABS(F80)&lt;=MAX(0.05,ABS(D80)*0.005),"Yes","NO")</f>
        <v>Yes</v>
      </c>
    </row>
    <row r="81" customFormat="false" ht="15" hidden="false" customHeight="false" outlineLevel="0" collapsed="false">
      <c r="A81" s="2" t="s">
        <v>46</v>
      </c>
      <c r="B81" s="2" t="n">
        <v>4</v>
      </c>
      <c r="C81" s="2" t="s">
        <v>60</v>
      </c>
      <c r="D81" s="12" t="n">
        <f aca="false">SUMIFS(Recipes!$N$2:$N$72,Recipes!$A$2:$A$72,A81)/B81</f>
        <v>1.36165</v>
      </c>
      <c r="E81" s="9" t="n">
        <v>1.36</v>
      </c>
      <c r="F81" s="12" t="n">
        <f aca="false">E81-D81</f>
        <v>-0.00164999999999993</v>
      </c>
      <c r="G81" s="7" t="str">
        <f aca="false">IF(ABS(F81)&lt;=MAX(0.05,ABS(D81)*0.005),"Yes","NO")</f>
        <v>Yes</v>
      </c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</row>
    <row r="83" customFormat="false" ht="15" hidden="false" customHeight="false" outlineLevel="0" collapsed="false">
      <c r="A83" s="2" t="s">
        <v>47</v>
      </c>
      <c r="B83" s="2" t="n">
        <v>2</v>
      </c>
      <c r="C83" s="2" t="s">
        <v>53</v>
      </c>
      <c r="D83" s="12" t="n">
        <f aca="false">SUMIFS(Recipes!$G$2:$G$72,Recipes!$A$2:$A$72,A83)/B83</f>
        <v>618.3</v>
      </c>
      <c r="E83" s="9" t="n">
        <v>618.3</v>
      </c>
      <c r="F83" s="12" t="n">
        <f aca="false">E83-D83</f>
        <v>0</v>
      </c>
      <c r="G83" s="7" t="str">
        <f aca="false">IF(ABS(F83)&lt;=MAX(0.05,ABS(D83)*0.005),"Yes","NO")</f>
        <v>Yes</v>
      </c>
    </row>
    <row r="84" customFormat="false" ht="15" hidden="false" customHeight="false" outlineLevel="0" collapsed="false">
      <c r="A84" s="2" t="s">
        <v>47</v>
      </c>
      <c r="B84" s="2" t="n">
        <v>2</v>
      </c>
      <c r="C84" s="2" t="s">
        <v>54</v>
      </c>
      <c r="D84" s="12" t="n">
        <f aca="false">SUMIFS(Recipes!$H$2:$H$72,Recipes!$A$2:$A$72,A84)/B84</f>
        <v>17.915</v>
      </c>
      <c r="E84" s="9" t="n">
        <v>17.91</v>
      </c>
      <c r="F84" s="12" t="n">
        <f aca="false">E84-D84</f>
        <v>-0.00499999999999901</v>
      </c>
      <c r="G84" s="7" t="str">
        <f aca="false">IF(ABS(F84)&lt;=MAX(0.05,ABS(D84)*0.005),"Yes","NO")</f>
        <v>Yes</v>
      </c>
    </row>
    <row r="85" customFormat="false" ht="15" hidden="false" customHeight="false" outlineLevel="0" collapsed="false">
      <c r="A85" s="2" t="s">
        <v>47</v>
      </c>
      <c r="B85" s="2" t="n">
        <v>2</v>
      </c>
      <c r="C85" s="2" t="s">
        <v>55</v>
      </c>
      <c r="D85" s="12" t="n">
        <f aca="false">SUMIFS(Recipes!$I$2:$I$72,Recipes!$A$2:$A$72,A85)/B85</f>
        <v>21.345</v>
      </c>
      <c r="E85" s="9" t="n">
        <v>21.34</v>
      </c>
      <c r="F85" s="12" t="n">
        <f aca="false">E85-D85</f>
        <v>-0.00500000000000256</v>
      </c>
      <c r="G85" s="7" t="str">
        <f aca="false">IF(ABS(F85)&lt;=MAX(0.05,ABS(D85)*0.005),"Yes","NO")</f>
        <v>Yes</v>
      </c>
    </row>
    <row r="86" customFormat="false" ht="15" hidden="false" customHeight="false" outlineLevel="0" collapsed="false">
      <c r="A86" s="2" t="s">
        <v>47</v>
      </c>
      <c r="B86" s="2" t="n">
        <v>2</v>
      </c>
      <c r="C86" s="2" t="s">
        <v>56</v>
      </c>
      <c r="D86" s="12" t="n">
        <f aca="false">SUMIFS(Recipes!$J$2:$J$72,Recipes!$A$2:$A$72,A86)/B86</f>
        <v>11.4545</v>
      </c>
      <c r="E86" s="9" t="n">
        <v>11.45</v>
      </c>
      <c r="F86" s="12" t="n">
        <f aca="false">E86-D86</f>
        <v>-0.00450000000000195</v>
      </c>
      <c r="G86" s="7" t="str">
        <f aca="false">IF(ABS(F86)&lt;=MAX(0.05,ABS(D86)*0.005),"Yes","NO")</f>
        <v>Yes</v>
      </c>
    </row>
    <row r="87" customFormat="false" ht="15" hidden="false" customHeight="false" outlineLevel="0" collapsed="false">
      <c r="A87" s="2" t="s">
        <v>47</v>
      </c>
      <c r="B87" s="2" t="n">
        <v>2</v>
      </c>
      <c r="C87" s="2" t="s">
        <v>57</v>
      </c>
      <c r="D87" s="12" t="n">
        <f aca="false">SUMIFS(Recipes!$K$2:$K$72,Recipes!$A$2:$A$72,A87)/B87</f>
        <v>95.105</v>
      </c>
      <c r="E87" s="9" t="n">
        <v>95.11</v>
      </c>
      <c r="F87" s="12" t="n">
        <f aca="false">E87-D87</f>
        <v>0.00499999999999545</v>
      </c>
      <c r="G87" s="7" t="str">
        <f aca="false">IF(ABS(F87)&lt;=MAX(0.05,ABS(D87)*0.005),"Yes","NO")</f>
        <v>Yes</v>
      </c>
    </row>
    <row r="88" customFormat="false" ht="15" hidden="false" customHeight="false" outlineLevel="0" collapsed="false">
      <c r="A88" s="2" t="s">
        <v>47</v>
      </c>
      <c r="B88" s="2" t="n">
        <v>2</v>
      </c>
      <c r="C88" s="2" t="s">
        <v>58</v>
      </c>
      <c r="D88" s="12" t="n">
        <f aca="false">SUMIFS(Recipes!$L$2:$L$72,Recipes!$A$2:$A$72,A88)/B88</f>
        <v>45.425</v>
      </c>
      <c r="E88" s="9" t="n">
        <v>45.43</v>
      </c>
      <c r="F88" s="12" t="n">
        <f aca="false">E88-D88</f>
        <v>0.00499999999999545</v>
      </c>
      <c r="G88" s="7" t="str">
        <f aca="false">IF(ABS(F88)&lt;=MAX(0.05,ABS(D88)*0.005),"Yes","NO")</f>
        <v>Yes</v>
      </c>
    </row>
    <row r="89" customFormat="false" ht="15" hidden="false" customHeight="false" outlineLevel="0" collapsed="false">
      <c r="A89" s="2" t="s">
        <v>47</v>
      </c>
      <c r="B89" s="2" t="n">
        <v>2</v>
      </c>
      <c r="C89" s="2" t="s">
        <v>59</v>
      </c>
      <c r="D89" s="12" t="n">
        <f aca="false">SUMIFS(Recipes!$M$2:$M$72,Recipes!$A$2:$A$72,A89)/B89</f>
        <v>3.74</v>
      </c>
      <c r="E89" s="9" t="n">
        <v>3.74</v>
      </c>
      <c r="F89" s="12" t="n">
        <f aca="false">E89-D89</f>
        <v>0</v>
      </c>
      <c r="G89" s="7" t="str">
        <f aca="false">IF(ABS(F89)&lt;=MAX(0.05,ABS(D89)*0.005),"Yes","NO")</f>
        <v>Yes</v>
      </c>
    </row>
    <row r="90" customFormat="false" ht="15" hidden="false" customHeight="false" outlineLevel="0" collapsed="false">
      <c r="A90" s="2" t="s">
        <v>47</v>
      </c>
      <c r="B90" s="2" t="n">
        <v>2</v>
      </c>
      <c r="C90" s="2" t="s">
        <v>60</v>
      </c>
      <c r="D90" s="12" t="n">
        <f aca="false">SUMIFS(Recipes!$N$2:$N$72,Recipes!$A$2:$A$72,A90)/B90</f>
        <v>0.5167</v>
      </c>
      <c r="E90" s="9" t="n">
        <v>0.52</v>
      </c>
      <c r="F90" s="12" t="n">
        <f aca="false">E90-D90</f>
        <v>0.00329999999999997</v>
      </c>
      <c r="G90" s="7" t="str">
        <f aca="false">IF(ABS(F90)&lt;=MAX(0.05,ABS(D90)*0.005),"Yes","NO")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2026-10-02T12:31:45Z</dcterms:created>
  <dc:creator>openpyxl</dc:creator>
  <dc:description/>
  <dc:language>en-US</dc:language>
  <cp:lastModifiedBy/>
  <dcterms:modified xsi:type="dcterms:W3CDTF">2026-10-02T12:31:45Z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